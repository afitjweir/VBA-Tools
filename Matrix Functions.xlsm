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weir\Documents\MilBook Stuff\"/>
    </mc:Choice>
  </mc:AlternateContent>
  <bookViews>
    <workbookView xWindow="0" yWindow="315" windowWidth="15315" windowHeight="8250"/>
  </bookViews>
  <sheets>
    <sheet name="Decription" sheetId="11" r:id="rId1"/>
    <sheet name="Useful Matrices" sheetId="1" r:id="rId2"/>
    <sheet name="Column Manipulation" sheetId="2" r:id="rId3"/>
    <sheet name="Row Manipulation" sheetId="4" r:id="rId4"/>
    <sheet name="Elementwise Addition" sheetId="5" r:id="rId5"/>
    <sheet name="Elementwise subtraction" sheetId="7" r:id="rId6"/>
    <sheet name="Elementwise division" sheetId="8" r:id="rId7"/>
    <sheet name="Matrix Element Functions" sheetId="9" r:id="rId8"/>
    <sheet name="Matrix Functions" sheetId="10" r:id="rId9"/>
  </sheets>
  <functionGroups builtInGroupCount="18"/>
  <definedNames>
    <definedName name="A_Matrix">'Useful Matrices'!$G$4:$K$6</definedName>
    <definedName name="solver_adj" localSheetId="1" hidden="1">'Useful Matrices'!#REF!</definedName>
    <definedName name="solver_cvg" localSheetId="1" hidden="1">0.0001</definedName>
    <definedName name="solver_drv" localSheetId="1" hidden="1">1</definedName>
    <definedName name="solver_est" localSheetId="1" hidden="1">1</definedName>
    <definedName name="solver_itr" localSheetId="1" hidden="1">100</definedName>
    <definedName name="solver_lhs1" localSheetId="1" hidden="1">'Useful Matrices'!#REF!</definedName>
    <definedName name="solver_lin" localSheetId="1" hidden="1">1</definedName>
    <definedName name="solver_neg" localSheetId="1" hidden="1">1</definedName>
    <definedName name="solver_num" localSheetId="1" hidden="1">1</definedName>
    <definedName name="solver_nwt" localSheetId="1" hidden="1">1</definedName>
    <definedName name="solver_opt" localSheetId="1" hidden="1">'Useful Matrices'!$H$4</definedName>
    <definedName name="solver_pre" localSheetId="1" hidden="1">0.000001</definedName>
    <definedName name="solver_rel1" localSheetId="1" hidden="1">1</definedName>
    <definedName name="solver_rhs1" localSheetId="1" hidden="1">'Useful Matrices'!$D$10:$D$12</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1</definedName>
    <definedName name="solver_val" localSheetId="1" hidden="1">0</definedName>
  </definedNames>
  <calcPr calcId="152511"/>
  <extLst>
    <ext xmlns:x14="http://schemas.microsoft.com/office/spreadsheetml/2009/9/main" uri="{8193D73E-4604-4355-AFF4-8A2333D13BE4}">
      <x14:definedNames>
        <x14:definedName name="matMult">
          <x14:argumentDescriptions count="2">
            <x14:argumentDescription index="0">First Array</x14:argumentDescription>
            <x14:argumentDescription index="1">Second Array</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G20" i="10" l="1"/>
  <c r="I20" i="10" a="1"/>
  <c r="I20" i="10" l="1"/>
  <c r="I22" i="10"/>
  <c r="J22" i="10"/>
  <c r="K20" i="10"/>
  <c r="K22" i="10"/>
  <c r="L20" i="10"/>
  <c r="L22" i="10"/>
  <c r="I21" i="10"/>
  <c r="J21" i="10"/>
  <c r="J23" i="10"/>
  <c r="K21" i="10"/>
  <c r="K23" i="10"/>
  <c r="L21" i="10"/>
  <c r="L23" i="10"/>
  <c r="J20" i="10"/>
  <c r="I23" i="10"/>
  <c r="E33" i="10" a="1"/>
  <c r="D28" i="9" a="1"/>
  <c r="H12" i="8" a="1"/>
  <c r="L6" i="7" a="1"/>
  <c r="J25" i="5" a="1"/>
  <c r="F27" i="4" a="1"/>
  <c r="I27" i="4" a="1"/>
  <c r="D22" i="1" a="1"/>
  <c r="P62" i="10"/>
  <c r="G28" i="10" a="1"/>
  <c r="P20" i="9" a="1"/>
  <c r="P4" i="9" a="1"/>
  <c r="Q12" i="8" a="1"/>
  <c r="N25" i="7" a="1"/>
  <c r="H19" i="5" a="1"/>
  <c r="F16" i="4" a="1"/>
  <c r="J16" i="4" a="1"/>
  <c r="I13" i="1" a="1"/>
  <c r="J62" i="10"/>
  <c r="I13" i="10" a="1"/>
  <c r="G22" i="9" a="1"/>
  <c r="G6" i="9" a="1"/>
  <c r="S12" i="8" a="1"/>
  <c r="F12" i="7" a="1"/>
  <c r="H12" i="5" a="1"/>
  <c r="F6" i="4" a="1"/>
  <c r="J6" i="4" a="1"/>
  <c r="D13" i="1" a="1"/>
  <c r="D62" i="10" a="1"/>
  <c r="H9" i="10" a="1"/>
  <c r="P12" i="9" a="1"/>
  <c r="D4" i="9" a="1"/>
  <c r="H6" i="8" a="1"/>
  <c r="H19" i="7" a="1"/>
  <c r="F12" i="5" a="1"/>
  <c r="I21" i="2" a="1"/>
  <c r="O21" i="2" a="1"/>
  <c r="B13" i="1" a="1"/>
  <c r="K49" i="10" a="1"/>
  <c r="I4" i="10" a="1"/>
  <c r="G14" i="9" a="1"/>
  <c r="J25" i="8" a="1"/>
  <c r="L6" i="8" a="1"/>
  <c r="L19" i="7" a="1"/>
  <c r="H6" i="5" a="1"/>
  <c r="J25" i="2" a="1"/>
  <c r="Q13" i="2" a="1"/>
  <c r="D4" i="1" a="1"/>
  <c r="H54" i="10" a="1"/>
  <c r="D20" i="9" a="1"/>
  <c r="D12" i="9" a="1"/>
  <c r="Q19" i="8" a="1"/>
  <c r="N25" i="8" a="1"/>
  <c r="H6" i="7" a="1"/>
  <c r="F36" i="4" a="1"/>
  <c r="Q25" i="2" a="1"/>
  <c r="M4" i="2" a="1"/>
  <c r="I4" i="1" a="1"/>
  <c r="H49" i="10" a="1"/>
  <c r="P28" i="9" a="1"/>
  <c r="I19" i="8" a="1"/>
  <c r="H12" i="7" a="1"/>
  <c r="L19" i="5" a="1"/>
  <c r="L6" i="5" a="1"/>
  <c r="J13" i="2" a="1"/>
  <c r="B33" i="1" a="1"/>
  <c r="B4" i="1" a="1"/>
  <c r="F42" i="10" a="1"/>
  <c r="H4" i="2" a="1"/>
  <c r="G30" i="9" a="1"/>
  <c r="J24" i="1" a="1"/>
  <c r="H14" i="8" a="1"/>
  <c r="J25" i="7" a="1"/>
  <c r="N25" i="5" a="1"/>
  <c r="H36" i="4" a="1"/>
  <c r="H36" i="4" l="1"/>
  <c r="H43" i="4"/>
  <c r="H42" i="4"/>
  <c r="H41" i="4"/>
  <c r="H40" i="4"/>
  <c r="H39" i="4"/>
  <c r="H38" i="4"/>
  <c r="H37" i="4"/>
  <c r="O25" i="5"/>
  <c r="N25" i="5"/>
  <c r="P27" i="5"/>
  <c r="O27" i="5"/>
  <c r="N27" i="5"/>
  <c r="P26" i="5"/>
  <c r="N26" i="5"/>
  <c r="O26" i="5"/>
  <c r="P25" i="5"/>
  <c r="J27" i="7"/>
  <c r="L26" i="7"/>
  <c r="K27" i="7"/>
  <c r="L27" i="7"/>
  <c r="J25" i="7"/>
  <c r="K25" i="7"/>
  <c r="L25" i="7"/>
  <c r="J26" i="7"/>
  <c r="K26" i="7"/>
  <c r="K14" i="8"/>
  <c r="J14" i="8"/>
  <c r="I14" i="8"/>
  <c r="H14" i="8"/>
  <c r="J28" i="1"/>
  <c r="N25" i="1"/>
  <c r="M24" i="1"/>
  <c r="L27" i="1"/>
  <c r="K25" i="1"/>
  <c r="L24" i="1"/>
  <c r="J26" i="1"/>
  <c r="M25" i="1"/>
  <c r="M26" i="1"/>
  <c r="N24" i="1"/>
  <c r="N28" i="1"/>
  <c r="L25" i="1"/>
  <c r="L26" i="1"/>
  <c r="J25" i="1"/>
  <c r="K26" i="1"/>
  <c r="J27" i="1"/>
  <c r="N27" i="1"/>
  <c r="M28" i="1"/>
  <c r="M27" i="1"/>
  <c r="N26" i="1"/>
  <c r="J24" i="1"/>
  <c r="K24" i="1"/>
  <c r="L28" i="1"/>
  <c r="K27" i="1"/>
  <c r="K28" i="1"/>
  <c r="H30" i="9"/>
  <c r="G30" i="9"/>
  <c r="J30" i="9"/>
  <c r="I30" i="9"/>
  <c r="I4" i="2"/>
  <c r="J5" i="2"/>
  <c r="I6" i="2"/>
  <c r="J7" i="2"/>
  <c r="K4" i="2"/>
  <c r="I8" i="2"/>
  <c r="I5" i="2"/>
  <c r="K6" i="2"/>
  <c r="H4" i="2"/>
  <c r="I7" i="2"/>
  <c r="K8" i="2"/>
  <c r="H6" i="2"/>
  <c r="H5" i="2"/>
  <c r="J4" i="2"/>
  <c r="H8" i="2"/>
  <c r="H7" i="2"/>
  <c r="J6" i="2"/>
  <c r="K5" i="2"/>
  <c r="J8" i="2"/>
  <c r="K7" i="2"/>
  <c r="G42" i="10"/>
  <c r="F42" i="10"/>
  <c r="H44" i="10"/>
  <c r="G44" i="10"/>
  <c r="F44" i="10"/>
  <c r="F43" i="10"/>
  <c r="H43" i="10"/>
  <c r="H42" i="10"/>
  <c r="G43" i="10"/>
  <c r="B4" i="1"/>
  <c r="B7" i="1"/>
  <c r="B9" i="1"/>
  <c r="B5" i="1"/>
  <c r="B6" i="1"/>
  <c r="B8" i="1"/>
  <c r="C35" i="1"/>
  <c r="B35" i="1"/>
  <c r="D34" i="1"/>
  <c r="C34" i="1"/>
  <c r="B34" i="1"/>
  <c r="C33" i="1"/>
  <c r="D33" i="1"/>
  <c r="B33" i="1"/>
  <c r="D35" i="1"/>
  <c r="L13" i="2"/>
  <c r="J13" i="2"/>
  <c r="L15" i="2"/>
  <c r="L16" i="2"/>
  <c r="N14" i="2"/>
  <c r="L14" i="2"/>
  <c r="N16" i="2"/>
  <c r="N17" i="2"/>
  <c r="J16" i="2"/>
  <c r="N15" i="2"/>
  <c r="O13" i="2"/>
  <c r="L17" i="2"/>
  <c r="J17" i="2"/>
  <c r="K15" i="2"/>
  <c r="M13" i="2"/>
  <c r="K13" i="2"/>
  <c r="K14" i="2"/>
  <c r="M16" i="2"/>
  <c r="O14" i="2"/>
  <c r="M14" i="2"/>
  <c r="M15" i="2"/>
  <c r="O17" i="2"/>
  <c r="K16" i="2"/>
  <c r="O15" i="2"/>
  <c r="O16" i="2"/>
  <c r="N13" i="2"/>
  <c r="M17" i="2"/>
  <c r="K17" i="2"/>
  <c r="J14" i="2"/>
  <c r="J15" i="2"/>
  <c r="M8" i="5"/>
  <c r="L8" i="5"/>
  <c r="M7" i="5"/>
  <c r="N7" i="5"/>
  <c r="L7" i="5"/>
  <c r="N6" i="5"/>
  <c r="M6" i="5"/>
  <c r="L6" i="5"/>
  <c r="N8" i="5"/>
  <c r="N20" i="5"/>
  <c r="L20" i="5"/>
  <c r="N19" i="5"/>
  <c r="M19" i="5"/>
  <c r="L19" i="5"/>
  <c r="M20" i="5"/>
  <c r="N21" i="5"/>
  <c r="M21" i="5"/>
  <c r="L21" i="5"/>
  <c r="H12" i="7"/>
  <c r="H13" i="7"/>
  <c r="H14" i="7"/>
  <c r="H15" i="7"/>
  <c r="I21" i="8"/>
  <c r="K20" i="8"/>
  <c r="I20" i="8"/>
  <c r="J20" i="8"/>
  <c r="K19" i="8"/>
  <c r="J19" i="8"/>
  <c r="I19" i="8"/>
  <c r="K21" i="8"/>
  <c r="J21" i="8"/>
  <c r="P30" i="9"/>
  <c r="Q29" i="9"/>
  <c r="R29" i="9"/>
  <c r="P29" i="9"/>
  <c r="R28" i="9"/>
  <c r="Q28" i="9"/>
  <c r="P28" i="9"/>
  <c r="R30" i="9"/>
  <c r="Q30" i="9"/>
  <c r="I49" i="10"/>
  <c r="H49" i="10"/>
  <c r="I50" i="10"/>
  <c r="H50" i="10"/>
  <c r="K5" i="1"/>
  <c r="J4" i="1"/>
  <c r="I7" i="1"/>
  <c r="I4" i="1"/>
  <c r="I8" i="1"/>
  <c r="K6" i="1"/>
  <c r="K4" i="1"/>
  <c r="J8" i="1"/>
  <c r="J7" i="1"/>
  <c r="J5" i="1"/>
  <c r="I5" i="1"/>
  <c r="I6" i="1"/>
  <c r="J6" i="1"/>
  <c r="K7" i="1"/>
  <c r="K8" i="1"/>
  <c r="N6" i="2"/>
  <c r="O7" i="2"/>
  <c r="P4" i="2"/>
  <c r="N8" i="2"/>
  <c r="N5" i="2"/>
  <c r="P6" i="2"/>
  <c r="M4" i="2"/>
  <c r="N7" i="2"/>
  <c r="P8" i="2"/>
  <c r="M6" i="2"/>
  <c r="M5" i="2"/>
  <c r="O4" i="2"/>
  <c r="M8" i="2"/>
  <c r="M7" i="2"/>
  <c r="O6" i="2"/>
  <c r="P5" i="2"/>
  <c r="O8" i="2"/>
  <c r="N4" i="2"/>
  <c r="P7" i="2"/>
  <c r="O5" i="2"/>
  <c r="R25" i="2"/>
  <c r="Q25" i="2"/>
  <c r="V25" i="2"/>
  <c r="U25" i="2"/>
  <c r="T25" i="2"/>
  <c r="S25" i="2"/>
  <c r="F36" i="4"/>
  <c r="F43" i="4"/>
  <c r="F42" i="4"/>
  <c r="F41" i="4"/>
  <c r="F40" i="4"/>
  <c r="F39" i="4"/>
  <c r="F38" i="4"/>
  <c r="F37" i="4"/>
  <c r="H6" i="7"/>
  <c r="I6" i="7"/>
  <c r="J6" i="7"/>
  <c r="H7" i="7"/>
  <c r="I7" i="7"/>
  <c r="J7" i="7"/>
  <c r="H8" i="7"/>
  <c r="J8" i="7"/>
  <c r="I8" i="7"/>
  <c r="N27" i="8"/>
  <c r="O27" i="8"/>
  <c r="P27" i="8"/>
  <c r="N25" i="8"/>
  <c r="P25" i="8"/>
  <c r="O25" i="8"/>
  <c r="N26" i="8"/>
  <c r="O26" i="8"/>
  <c r="P26" i="8"/>
  <c r="S20" i="8"/>
  <c r="S21" i="8"/>
  <c r="Q21" i="8"/>
  <c r="R21" i="8"/>
  <c r="R20" i="8"/>
  <c r="Q20" i="8"/>
  <c r="S19" i="8"/>
  <c r="R19" i="8"/>
  <c r="Q19" i="8"/>
  <c r="D15" i="9"/>
  <c r="D14" i="9"/>
  <c r="D13" i="9"/>
  <c r="D12" i="9"/>
  <c r="D20" i="9"/>
  <c r="D23" i="9"/>
  <c r="D22" i="9"/>
  <c r="D21" i="9"/>
  <c r="J54" i="10"/>
  <c r="J55" i="10"/>
  <c r="I57" i="10"/>
  <c r="I55" i="10"/>
  <c r="I54" i="10"/>
  <c r="H57" i="10"/>
  <c r="H54" i="10"/>
  <c r="J56" i="10"/>
  <c r="H55" i="10"/>
  <c r="I56" i="10"/>
  <c r="J57" i="10"/>
  <c r="H56" i="10"/>
  <c r="G4" i="1"/>
  <c r="E4" i="1"/>
  <c r="F4" i="1"/>
  <c r="D4" i="1"/>
  <c r="U14" i="2"/>
  <c r="S14" i="2"/>
  <c r="U16" i="2"/>
  <c r="U17" i="2"/>
  <c r="Q16" i="2"/>
  <c r="U15" i="2"/>
  <c r="V13" i="2"/>
  <c r="S17" i="2"/>
  <c r="Q17" i="2"/>
  <c r="R15" i="2"/>
  <c r="T13" i="2"/>
  <c r="R13" i="2"/>
  <c r="R14" i="2"/>
  <c r="T16" i="2"/>
  <c r="V14" i="2"/>
  <c r="T14" i="2"/>
  <c r="T15" i="2"/>
  <c r="V17" i="2"/>
  <c r="R16" i="2"/>
  <c r="V15" i="2"/>
  <c r="V16" i="2"/>
  <c r="U13" i="2"/>
  <c r="T17" i="2"/>
  <c r="R17" i="2"/>
  <c r="Q14" i="2"/>
  <c r="Q15" i="2"/>
  <c r="S16" i="2"/>
  <c r="Q13" i="2"/>
  <c r="S13" i="2"/>
  <c r="S15" i="2"/>
  <c r="J25" i="2"/>
  <c r="O25" i="2"/>
  <c r="N25" i="2"/>
  <c r="M25" i="2"/>
  <c r="L25" i="2"/>
  <c r="K25" i="2"/>
  <c r="I8" i="5"/>
  <c r="J7" i="5"/>
  <c r="H8" i="5"/>
  <c r="I7" i="5"/>
  <c r="H7" i="5"/>
  <c r="J6" i="5"/>
  <c r="I6" i="5"/>
  <c r="H6" i="5"/>
  <c r="J8" i="5"/>
  <c r="N21" i="7"/>
  <c r="M21" i="7"/>
  <c r="L19" i="7"/>
  <c r="M19" i="7"/>
  <c r="N19" i="7"/>
  <c r="L20" i="7"/>
  <c r="M20" i="7"/>
  <c r="N20" i="7"/>
  <c r="L21" i="7"/>
  <c r="N8" i="8"/>
  <c r="L6" i="8"/>
  <c r="M6" i="8"/>
  <c r="N6" i="8"/>
  <c r="L7" i="8"/>
  <c r="M7" i="8"/>
  <c r="L8" i="8"/>
  <c r="N7" i="8"/>
  <c r="M8" i="8"/>
  <c r="J26" i="8"/>
  <c r="K25" i="8"/>
  <c r="L25" i="8"/>
  <c r="J25" i="8"/>
  <c r="L27" i="8"/>
  <c r="K27" i="8"/>
  <c r="J27" i="8"/>
  <c r="L26" i="8"/>
  <c r="K26" i="8"/>
  <c r="J14" i="9"/>
  <c r="I14" i="9"/>
  <c r="H14" i="9"/>
  <c r="G14" i="9"/>
  <c r="L6" i="10"/>
  <c r="I5" i="10"/>
  <c r="K6" i="10"/>
  <c r="L4" i="10"/>
  <c r="J4" i="10"/>
  <c r="K4" i="10"/>
  <c r="I4" i="10"/>
  <c r="J6" i="10"/>
  <c r="L5" i="10"/>
  <c r="I6" i="10"/>
  <c r="K5" i="10"/>
  <c r="L7" i="10"/>
  <c r="K7" i="10"/>
  <c r="J5" i="10"/>
  <c r="I7" i="10"/>
  <c r="J7" i="10"/>
  <c r="N51" i="10"/>
  <c r="L51" i="10"/>
  <c r="N49" i="10"/>
  <c r="K51" i="10"/>
  <c r="M49" i="10"/>
  <c r="O50" i="10"/>
  <c r="L49" i="10"/>
  <c r="K49" i="10"/>
  <c r="N50" i="10"/>
  <c r="L50" i="10"/>
  <c r="M50" i="10"/>
  <c r="O51" i="10"/>
  <c r="O49" i="10"/>
  <c r="K50" i="10"/>
  <c r="M51" i="10"/>
  <c r="B14" i="1"/>
  <c r="B13" i="1"/>
  <c r="B15" i="1"/>
  <c r="B18" i="1"/>
  <c r="B17" i="1"/>
  <c r="B16" i="1"/>
  <c r="P21" i="2"/>
  <c r="O21" i="2"/>
  <c r="S21" i="2"/>
  <c r="R21" i="2"/>
  <c r="Q21" i="2"/>
  <c r="M21" i="2"/>
  <c r="L21" i="2"/>
  <c r="K21" i="2"/>
  <c r="J21" i="2"/>
  <c r="I21" i="2"/>
  <c r="F12" i="5"/>
  <c r="F15" i="5"/>
  <c r="F14" i="5"/>
  <c r="F13" i="5"/>
  <c r="H19" i="7"/>
  <c r="J19" i="7"/>
  <c r="I19" i="7"/>
  <c r="H20" i="7"/>
  <c r="I20" i="7"/>
  <c r="J20" i="7"/>
  <c r="H21" i="7"/>
  <c r="I21" i="7"/>
  <c r="J21" i="7"/>
  <c r="J8" i="8"/>
  <c r="I8" i="8"/>
  <c r="H8" i="8"/>
  <c r="J7" i="8"/>
  <c r="H7" i="8"/>
  <c r="I7" i="8"/>
  <c r="J6" i="8"/>
  <c r="I6" i="8"/>
  <c r="H6" i="8"/>
  <c r="D4" i="9"/>
  <c r="D7" i="9"/>
  <c r="D6" i="9"/>
  <c r="D5" i="9"/>
  <c r="R12" i="9"/>
  <c r="Q12" i="9"/>
  <c r="P12" i="9"/>
  <c r="R14" i="9"/>
  <c r="Q14" i="9"/>
  <c r="P14" i="9"/>
  <c r="R13" i="9"/>
  <c r="P13" i="9"/>
  <c r="Q13" i="9"/>
  <c r="H9" i="10"/>
  <c r="D62" i="10"/>
  <c r="G13" i="1"/>
  <c r="F13" i="1"/>
  <c r="E13" i="1"/>
  <c r="D13" i="1"/>
  <c r="L6" i="4"/>
  <c r="K8" i="4"/>
  <c r="K9" i="4"/>
  <c r="J11" i="4"/>
  <c r="K6" i="4"/>
  <c r="J8" i="4"/>
  <c r="J9" i="4"/>
  <c r="L10" i="4"/>
  <c r="K7" i="4"/>
  <c r="L11" i="4"/>
  <c r="L7" i="4"/>
  <c r="J10" i="4"/>
  <c r="J6" i="4"/>
  <c r="K10" i="4"/>
  <c r="J7" i="4"/>
  <c r="L8" i="4"/>
  <c r="L9" i="4"/>
  <c r="K11" i="4"/>
  <c r="H11" i="4"/>
  <c r="H10" i="4"/>
  <c r="G7" i="4"/>
  <c r="F6" i="4"/>
  <c r="H7" i="4"/>
  <c r="F10" i="4"/>
  <c r="H8" i="4"/>
  <c r="G10" i="4"/>
  <c r="F7" i="4"/>
  <c r="G11" i="4"/>
  <c r="H6" i="4"/>
  <c r="H9" i="4"/>
  <c r="G9" i="4"/>
  <c r="G8" i="4"/>
  <c r="G6" i="4"/>
  <c r="F11" i="4"/>
  <c r="F9" i="4"/>
  <c r="F8" i="4"/>
  <c r="H15" i="5"/>
  <c r="H14" i="5"/>
  <c r="H13" i="5"/>
  <c r="H12" i="5"/>
  <c r="F12" i="7"/>
  <c r="F13" i="7"/>
  <c r="F14" i="7"/>
  <c r="F15" i="7"/>
  <c r="S13" i="8"/>
  <c r="S12" i="8"/>
  <c r="S15" i="8"/>
  <c r="S14" i="8"/>
  <c r="J6" i="9"/>
  <c r="I6" i="9"/>
  <c r="H6" i="9"/>
  <c r="G6" i="9"/>
  <c r="J22" i="9"/>
  <c r="I22" i="9"/>
  <c r="H22" i="9"/>
  <c r="G22" i="9"/>
  <c r="J17" i="10"/>
  <c r="I16" i="10"/>
  <c r="J14" i="10"/>
  <c r="I13" i="10"/>
  <c r="I17" i="10"/>
  <c r="K15" i="10"/>
  <c r="I14" i="10"/>
  <c r="J15" i="10"/>
  <c r="K16" i="10"/>
  <c r="I15" i="10"/>
  <c r="K13" i="10"/>
  <c r="K17" i="10"/>
  <c r="J16" i="10"/>
  <c r="K14" i="10"/>
  <c r="J13" i="10"/>
  <c r="I16" i="1"/>
  <c r="J14" i="1"/>
  <c r="I13" i="1"/>
  <c r="I17" i="1"/>
  <c r="K14" i="1"/>
  <c r="K15" i="1"/>
  <c r="I14" i="1"/>
  <c r="J15" i="1"/>
  <c r="J17" i="1"/>
  <c r="K16" i="1"/>
  <c r="I15" i="1"/>
  <c r="J16" i="1"/>
  <c r="J13" i="1"/>
  <c r="K13" i="1"/>
  <c r="K17" i="1"/>
  <c r="K19" i="4"/>
  <c r="K18" i="4"/>
  <c r="J23" i="4"/>
  <c r="J22" i="4"/>
  <c r="J21" i="4"/>
  <c r="K17" i="4"/>
  <c r="K16" i="4"/>
  <c r="L23" i="4"/>
  <c r="J20" i="4"/>
  <c r="J19" i="4"/>
  <c r="J18" i="4"/>
  <c r="L22" i="4"/>
  <c r="J17" i="4"/>
  <c r="L21" i="4"/>
  <c r="L20" i="4"/>
  <c r="L19" i="4"/>
  <c r="J16" i="4"/>
  <c r="K23" i="4"/>
  <c r="K22" i="4"/>
  <c r="L18" i="4"/>
  <c r="L17" i="4"/>
  <c r="K21" i="4"/>
  <c r="K20" i="4"/>
  <c r="L16" i="4"/>
  <c r="F19" i="4"/>
  <c r="F18" i="4"/>
  <c r="H22" i="4"/>
  <c r="F17" i="4"/>
  <c r="H21" i="4"/>
  <c r="H20" i="4"/>
  <c r="H19" i="4"/>
  <c r="F16" i="4"/>
  <c r="G23" i="4"/>
  <c r="G22" i="4"/>
  <c r="H18" i="4"/>
  <c r="H17" i="4"/>
  <c r="H16" i="4"/>
  <c r="G21" i="4"/>
  <c r="G20" i="4"/>
  <c r="G19" i="4"/>
  <c r="G18" i="4"/>
  <c r="F23" i="4"/>
  <c r="F22" i="4"/>
  <c r="F21" i="4"/>
  <c r="G17" i="4"/>
  <c r="G16" i="4"/>
  <c r="H23" i="4"/>
  <c r="F20" i="4"/>
  <c r="I20" i="5"/>
  <c r="J20" i="5"/>
  <c r="H20" i="5"/>
  <c r="J19" i="5"/>
  <c r="I19" i="5"/>
  <c r="H19" i="5"/>
  <c r="J21" i="5"/>
  <c r="I21" i="5"/>
  <c r="H21" i="5"/>
  <c r="N27" i="7"/>
  <c r="O27" i="7"/>
  <c r="P27" i="7"/>
  <c r="N25" i="7"/>
  <c r="O25" i="7"/>
  <c r="P25" i="7"/>
  <c r="O26" i="7"/>
  <c r="N26" i="7"/>
  <c r="P26" i="7"/>
  <c r="Q15" i="8"/>
  <c r="Q14" i="8"/>
  <c r="Q13" i="8"/>
  <c r="Q12" i="8"/>
  <c r="R5" i="9"/>
  <c r="P6" i="9"/>
  <c r="Q5" i="9"/>
  <c r="P5" i="9"/>
  <c r="R4" i="9"/>
  <c r="Q4" i="9"/>
  <c r="P4" i="9"/>
  <c r="R6" i="9"/>
  <c r="Q6" i="9"/>
  <c r="P22" i="9"/>
  <c r="R21" i="9"/>
  <c r="P21" i="9"/>
  <c r="Q21" i="9"/>
  <c r="R20" i="9"/>
  <c r="Q20" i="9"/>
  <c r="P20" i="9"/>
  <c r="R22" i="9"/>
  <c r="Q22" i="9"/>
  <c r="G31" i="10"/>
  <c r="G30" i="10"/>
  <c r="G29" i="10"/>
  <c r="G28" i="10"/>
  <c r="D23" i="1"/>
  <c r="H25" i="1"/>
  <c r="E25" i="1"/>
  <c r="F26" i="1"/>
  <c r="G24" i="1"/>
  <c r="F22" i="1"/>
  <c r="H26" i="1"/>
  <c r="G22" i="1"/>
  <c r="E26" i="1"/>
  <c r="D24" i="1"/>
  <c r="E22" i="1"/>
  <c r="D22" i="1"/>
  <c r="H24" i="1"/>
  <c r="H22" i="1"/>
  <c r="G25" i="1"/>
  <c r="F23" i="1"/>
  <c r="E23" i="1"/>
  <c r="F24" i="1"/>
  <c r="H23" i="1"/>
  <c r="D25" i="1"/>
  <c r="D26" i="1"/>
  <c r="F25" i="1"/>
  <c r="G26" i="1"/>
  <c r="E24" i="1"/>
  <c r="G23" i="1"/>
  <c r="I29" i="4"/>
  <c r="I28" i="4"/>
  <c r="I27" i="4"/>
  <c r="I32" i="4"/>
  <c r="I31" i="4"/>
  <c r="I30" i="4"/>
  <c r="F32" i="4"/>
  <c r="F31" i="4"/>
  <c r="F30" i="4"/>
  <c r="F29" i="4"/>
  <c r="F28" i="4"/>
  <c r="F27" i="4"/>
  <c r="K27" i="5"/>
  <c r="J27" i="5"/>
  <c r="L26" i="5"/>
  <c r="J26" i="5"/>
  <c r="L25" i="5"/>
  <c r="K25" i="5"/>
  <c r="J25" i="5"/>
  <c r="K26" i="5"/>
  <c r="L27" i="5"/>
  <c r="M8" i="7"/>
  <c r="N8" i="7"/>
  <c r="L6" i="7"/>
  <c r="M6" i="7"/>
  <c r="N6" i="7"/>
  <c r="L7" i="7"/>
  <c r="M7" i="7"/>
  <c r="L8" i="7"/>
  <c r="N7" i="7"/>
  <c r="K12" i="8"/>
  <c r="J12" i="8"/>
  <c r="I12" i="8"/>
  <c r="H12" i="8"/>
  <c r="D29" i="9"/>
  <c r="D28" i="9"/>
  <c r="D31" i="9"/>
  <c r="D30" i="9"/>
  <c r="H33" i="10"/>
  <c r="I33" i="10"/>
  <c r="G33" i="10"/>
  <c r="F33" i="10"/>
  <c r="I34" i="10"/>
  <c r="E33" i="10"/>
  <c r="H34" i="10"/>
  <c r="G34" i="10"/>
  <c r="F34" i="10"/>
  <c r="E34" i="10"/>
  <c r="J42" i="10" a="1"/>
  <c r="J44" i="10" l="1"/>
  <c r="J42" i="10"/>
  <c r="K42" i="10"/>
  <c r="K44" i="10"/>
  <c r="J43" i="10"/>
  <c r="K43" i="10"/>
  <c r="L44" i="10"/>
  <c r="L42" i="10"/>
  <c r="L43" i="10"/>
  <c r="K33" i="10" a="1"/>
  <c r="I28" i="10" a="1"/>
  <c r="J28" i="10"/>
  <c r="L33" i="10"/>
  <c r="K37" i="10"/>
  <c r="K28" i="10"/>
  <c r="K36" i="10"/>
  <c r="L35" i="10"/>
  <c r="K35" i="10"/>
  <c r="L37" i="10"/>
  <c r="L36" i="10"/>
  <c r="L28" i="10"/>
  <c r="K33" i="10"/>
  <c r="I28" i="10"/>
  <c r="L34" i="10"/>
  <c r="K34" i="10"/>
</calcChain>
</file>

<file path=xl/sharedStrings.xml><?xml version="1.0" encoding="utf-8"?>
<sst xmlns="http://schemas.openxmlformats.org/spreadsheetml/2006/main" count="157" uniqueCount="76">
  <si>
    <t>Ones</t>
  </si>
  <si>
    <t>zeros</t>
  </si>
  <si>
    <t>Diag</t>
  </si>
  <si>
    <t>eye</t>
  </si>
  <si>
    <t>Add Column(s)</t>
  </si>
  <si>
    <t>Add Row(s)</t>
  </si>
  <si>
    <t xml:space="preserve"> </t>
  </si>
  <si>
    <t>Addition</t>
  </si>
  <si>
    <t>adds 5 to each element</t>
  </si>
  <si>
    <t>Scalar</t>
  </si>
  <si>
    <t>Two vectors</t>
  </si>
  <si>
    <t>can't append an array to a scalar</t>
  </si>
  <si>
    <t>can't append rows to a scalar</t>
  </si>
  <si>
    <t>Vector to Matrix</t>
  </si>
  <si>
    <t>Matrix to matrix</t>
  </si>
  <si>
    <t>subtractition</t>
  </si>
  <si>
    <t>subtracts 5 from each element</t>
  </si>
  <si>
    <t>Division</t>
  </si>
  <si>
    <t>divides each element by 5</t>
  </si>
  <si>
    <t>logbaseN</t>
  </si>
  <si>
    <t>Absolute Value</t>
  </si>
  <si>
    <t>Ceiling</t>
  </si>
  <si>
    <t>Floor</t>
  </si>
  <si>
    <t>Matrix Multiplication</t>
  </si>
  <si>
    <t>Matrix transpose</t>
  </si>
  <si>
    <t>Invert Matrix</t>
  </si>
  <si>
    <t>Get sub matrix</t>
  </si>
  <si>
    <t>Rows 3-4, Cols 2-3</t>
  </si>
  <si>
    <t>Rows 1-3</t>
  </si>
  <si>
    <t>Cols 2-4</t>
  </si>
  <si>
    <t>L2 norm of matrix</t>
  </si>
  <si>
    <t>=ones(rows, columns)</t>
  </si>
  <si>
    <t>Builds a matrix or vector of ones</t>
  </si>
  <si>
    <t>=zeros(rows, columns)</t>
  </si>
  <si>
    <t>Builds a matrix or vector of zeros</t>
  </si>
  <si>
    <t>=Diag(vector)</t>
  </si>
  <si>
    <t>Builds a matrix with vector on the diagonal</t>
  </si>
  <si>
    <t>=eye(dimension)</t>
  </si>
  <si>
    <t>Builds an identity matrix of size dimension</t>
  </si>
  <si>
    <t>Array 1</t>
  </si>
  <si>
    <t>Array 2</t>
  </si>
  <si>
    <t>=MaddCols(Array 1, Array 2)</t>
  </si>
  <si>
    <t>Appends Array2 to Array 1</t>
  </si>
  <si>
    <t>=Maddrows(Array 1, Array 2)</t>
  </si>
  <si>
    <t>Array2</t>
  </si>
  <si>
    <t>=matadd(Array1, Array2)</t>
  </si>
  <si>
    <t>Does elemental addition with scalars, vectors or Matrices</t>
  </si>
  <si>
    <t>get an error can't add matric to scalar</t>
  </si>
  <si>
    <t>get an error cant add matrix to vector</t>
  </si>
  <si>
    <t>=matsubtract(Array1, Array2)</t>
  </si>
  <si>
    <t>Does elemental subtraction with scalars, vectors or Matrices</t>
  </si>
  <si>
    <t>get an error cant subtract a matrix from a scalr</t>
  </si>
  <si>
    <t>get an error cant subtract matrix from vector</t>
  </si>
  <si>
    <t>Array1 - Array2</t>
  </si>
  <si>
    <t>Array1 + Array2</t>
  </si>
  <si>
    <t>=matdiv(Array1, Array2)</t>
  </si>
  <si>
    <t>Does elemental division with scalars, vectors or Matrices</t>
  </si>
  <si>
    <t>Array1 / Array2</t>
  </si>
  <si>
    <t>get an error cant divide a scalr by a matrix</t>
  </si>
  <si>
    <t>Array1</t>
  </si>
  <si>
    <t>Takes elemntal logarithm base (logBase) of Array 1</t>
  </si>
  <si>
    <t xml:space="preserve">Array1 </t>
  </si>
  <si>
    <t>Takes elemental absolute value of Array 1</t>
  </si>
  <si>
    <t>=matceil(Array)</t>
  </si>
  <si>
    <t>=matABS(Array 1)</t>
  </si>
  <si>
    <t>=matlogbaseN(Array 1,logBase)</t>
  </si>
  <si>
    <t>Takes elemntal ceiling of Array 1</t>
  </si>
  <si>
    <t>=matflorr(Array 1)</t>
  </si>
  <si>
    <t>Takes elemntal floor of Array 1</t>
  </si>
  <si>
    <t>=MatMult(Array 1, Array 2)</t>
  </si>
  <si>
    <t>Same as MMult in Excel except will do elemental multiplication if  Array 2 is a scalar</t>
  </si>
  <si>
    <t>=MatTrans(Array 1)</t>
  </si>
  <si>
    <t>Same as Excels Transpose</t>
  </si>
  <si>
    <t>=MatInv(Array 1)</t>
  </si>
  <si>
    <t>Same as Excels MINVERSE</t>
  </si>
  <si>
    <t xml:space="preserve">Array 1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</si>
</sst>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0" formatCode="0.0000"/>
  </numFmts>
  <fonts count="1" x14ac:knownFonts="1">
    <font>
      <sz val="11"/>
      <color theme="1"/>
      <name val="Calibri"/>
      <family val="2"/>
      <scheme val="minor"/>
    </font>
  </fonts>
  <fills count="3">
    <fill>
      <patternFill patternType="none"/>
    </fill>
    <fill>
      <patternFill patternType="gray125"/>
    </fill>
    <fill>
      <patternFill patternType="solid">
        <fgColor rgb="FF00B050"/>
        <bgColor indexed="64"/>
      </patternFill>
    </fill>
  </fills>
  <borders count="1">
    <border>
      <left/>
      <right/>
      <top/>
      <bottom/>
      <diagonal/>
    </border>
  </borders>
  <cellStyleXfs count="1">
    <xf numFmtId="0" fontId="0" fillId="0" borderId="0"/>
  </cellStyleXfs>
  <cellXfs count="7">
    <xf numFmtId="0" fontId="0" fillId="0" borderId="0" xfId="0"/>
    <xf numFmtId="170" fontId="0" fillId="0" borderId="0" xfId="0" applyNumberFormat="1"/>
    <xf numFmtId="0" fontId="0" fillId="0" borderId="0" xfId="0" applyAlignment="1">
      <alignment vertical="center"/>
    </xf>
    <xf numFmtId="1" fontId="0" fillId="0" borderId="0" xfId="0" applyNumberFormat="1"/>
    <xf numFmtId="0" fontId="0" fillId="2" borderId="0" xfId="0" applyFill="1"/>
    <xf numFmtId="0" fontId="0" fillId="0" borderId="0" xfId="0" quotePrefix="1"/>
    <xf numFmtId="0" fontId="0" fillId="0" borderId="0" xfId="0" applyAlignment="1">
      <alignment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533400</xdr:colOff>
      <xdr:row>1</xdr:row>
      <xdr:rowOff>123826</xdr:rowOff>
    </xdr:from>
    <xdr:to>
      <xdr:col>6</xdr:col>
      <xdr:colOff>100793</xdr:colOff>
      <xdr:row>15</xdr:row>
      <xdr:rowOff>185657</xdr:rowOff>
    </xdr:to>
    <xdr:sp macro="" textlink="">
      <xdr:nvSpPr>
        <xdr:cNvPr id="2" name="TextBox 1"/>
        <xdr:cNvSpPr txBox="1"/>
      </xdr:nvSpPr>
      <xdr:spPr>
        <a:xfrm>
          <a:off x="533400" y="313519"/>
          <a:ext cx="3224024" cy="27175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sheet contains user functions to manipulate vectors and matrices.  The functions can be called from either Excel or VBA.  In</a:t>
          </a:r>
          <a:r>
            <a:rPr lang="en-US" sz="1100" baseline="0"/>
            <a:t> Excel any vector, column or row is treated as a 2 dimensional matrix with one of the dimensions being singular, i.e (1x4) or (4x1).  In VBA a single dimensinal array (vector) is always assumed to be a row vector.  The functions account for this when doing all math.  When using in an Excel spreadsheet, these are array functions.  IF you are not familar with using array functions google them for help.</a:t>
          </a:r>
        </a:p>
        <a:p>
          <a:endParaRPr lang="en-US" sz="1100" baseline="0"/>
        </a:p>
        <a:p>
          <a:r>
            <a:rPr lang="en-US" sz="1100" baseline="0"/>
            <a:t>Theses function have undergone some testing but use at your own risk.  You can contact the author by emailing him at jweir@afit.edu</a:t>
          </a:r>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61"/>
  <sheetViews>
    <sheetView tabSelected="1" zoomScale="236" zoomScaleNormal="236" workbookViewId="0">
      <selection activeCell="H3" sqref="H3"/>
    </sheetView>
  </sheetViews>
  <sheetFormatPr defaultRowHeight="15" x14ac:dyDescent="0.25"/>
  <sheetData>
    <row r="1" spans="1:13" x14ac:dyDescent="0.25">
      <c r="A1" s="4"/>
      <c r="B1" s="4"/>
      <c r="C1" s="4"/>
      <c r="D1" s="4"/>
      <c r="E1" s="4"/>
      <c r="F1" s="4"/>
      <c r="G1" s="4"/>
      <c r="H1" s="4"/>
      <c r="I1" s="4"/>
      <c r="J1" s="4"/>
      <c r="K1" s="4"/>
      <c r="L1" s="4"/>
      <c r="M1" s="4"/>
    </row>
    <row r="2" spans="1:13" x14ac:dyDescent="0.25">
      <c r="A2" s="4"/>
      <c r="B2" s="4"/>
      <c r="C2" s="4"/>
      <c r="D2" s="4"/>
      <c r="E2" s="4"/>
      <c r="F2" s="4"/>
      <c r="G2" s="4"/>
      <c r="H2" s="4"/>
      <c r="I2" s="4"/>
      <c r="J2" s="4"/>
      <c r="K2" s="4"/>
      <c r="L2" s="4"/>
      <c r="M2" s="4"/>
    </row>
    <row r="3" spans="1:13" x14ac:dyDescent="0.25">
      <c r="A3" s="4"/>
      <c r="B3" s="4"/>
      <c r="C3" s="4"/>
      <c r="D3" s="4"/>
      <c r="E3" s="4"/>
      <c r="F3" s="4"/>
      <c r="G3" s="4"/>
      <c r="H3" s="4"/>
      <c r="I3" s="4"/>
      <c r="J3" s="4"/>
      <c r="K3" s="4"/>
      <c r="L3" s="4"/>
      <c r="M3" s="4"/>
    </row>
    <row r="4" spans="1:13" x14ac:dyDescent="0.25">
      <c r="A4" s="4"/>
      <c r="B4" s="4"/>
      <c r="C4" s="4"/>
      <c r="D4" s="4"/>
      <c r="E4" s="4"/>
      <c r="F4" s="4"/>
      <c r="G4" s="4"/>
      <c r="H4" s="4"/>
      <c r="I4" s="4"/>
      <c r="J4" s="4"/>
      <c r="K4" s="4"/>
      <c r="L4" s="4"/>
      <c r="M4" s="4"/>
    </row>
    <row r="5" spans="1:13" x14ac:dyDescent="0.25">
      <c r="A5" s="4"/>
      <c r="B5" s="4"/>
      <c r="C5" s="4"/>
      <c r="D5" s="4"/>
      <c r="E5" s="4"/>
      <c r="F5" s="4"/>
      <c r="G5" s="4"/>
      <c r="H5" s="4"/>
      <c r="I5" s="4"/>
      <c r="J5" s="4"/>
      <c r="K5" s="4"/>
      <c r="L5" s="4"/>
      <c r="M5" s="4"/>
    </row>
    <row r="6" spans="1:13" x14ac:dyDescent="0.25">
      <c r="A6" s="4"/>
      <c r="B6" s="4"/>
      <c r="C6" s="4"/>
      <c r="D6" s="4"/>
      <c r="E6" s="4"/>
      <c r="F6" s="4"/>
      <c r="G6" s="4"/>
      <c r="H6" s="4"/>
      <c r="I6" s="4"/>
      <c r="J6" s="4"/>
      <c r="K6" s="4"/>
      <c r="L6" s="4"/>
      <c r="M6" s="4"/>
    </row>
    <row r="7" spans="1:13" x14ac:dyDescent="0.25">
      <c r="A7" s="4"/>
      <c r="B7" s="4"/>
      <c r="C7" s="4"/>
      <c r="D7" s="4"/>
      <c r="E7" s="4"/>
      <c r="F7" s="4"/>
      <c r="G7" s="4"/>
      <c r="H7" s="4"/>
      <c r="I7" s="4"/>
      <c r="J7" s="4"/>
      <c r="K7" s="4"/>
      <c r="L7" s="4"/>
      <c r="M7" s="4"/>
    </row>
    <row r="8" spans="1:13" x14ac:dyDescent="0.25">
      <c r="A8" s="4"/>
      <c r="B8" s="4"/>
      <c r="C8" s="4"/>
      <c r="D8" s="4"/>
      <c r="E8" s="4"/>
      <c r="F8" s="4"/>
      <c r="G8" s="4"/>
      <c r="H8" s="4"/>
      <c r="I8" s="4"/>
      <c r="J8" s="4"/>
      <c r="K8" s="4"/>
      <c r="L8" s="4"/>
      <c r="M8" s="4"/>
    </row>
    <row r="9" spans="1:13" x14ac:dyDescent="0.25">
      <c r="A9" s="4"/>
      <c r="B9" s="4"/>
      <c r="C9" s="4"/>
      <c r="D9" s="4"/>
      <c r="E9" s="4"/>
      <c r="F9" s="4"/>
      <c r="G9" s="4"/>
      <c r="H9" s="4"/>
      <c r="I9" s="4"/>
      <c r="J9" s="4"/>
      <c r="K9" s="4"/>
      <c r="L9" s="4"/>
      <c r="M9" s="4"/>
    </row>
    <row r="10" spans="1:13" x14ac:dyDescent="0.25">
      <c r="A10" s="4"/>
      <c r="B10" s="4"/>
      <c r="C10" s="4"/>
      <c r="D10" s="4"/>
      <c r="E10" s="4"/>
      <c r="F10" s="4"/>
      <c r="G10" s="4"/>
      <c r="H10" s="4"/>
      <c r="I10" s="4"/>
      <c r="J10" s="4"/>
      <c r="K10" s="4"/>
      <c r="L10" s="4"/>
      <c r="M10" s="4"/>
    </row>
    <row r="11" spans="1:13" x14ac:dyDescent="0.25">
      <c r="A11" s="4"/>
      <c r="B11" s="4"/>
      <c r="C11" s="4"/>
      <c r="D11" s="4"/>
      <c r="E11" s="4"/>
      <c r="F11" s="4"/>
      <c r="G11" s="4"/>
      <c r="H11" s="4"/>
      <c r="I11" s="4"/>
      <c r="J11" s="4"/>
      <c r="K11" s="4"/>
      <c r="L11" s="4"/>
      <c r="M11" s="4"/>
    </row>
    <row r="12" spans="1:13" x14ac:dyDescent="0.25">
      <c r="A12" s="4"/>
      <c r="B12" s="4"/>
      <c r="C12" s="4"/>
      <c r="D12" s="4"/>
      <c r="E12" s="4"/>
      <c r="F12" s="4"/>
      <c r="G12" s="4"/>
      <c r="H12" s="4"/>
      <c r="I12" s="4"/>
      <c r="J12" s="4"/>
      <c r="K12" s="4"/>
      <c r="L12" s="4"/>
      <c r="M12" s="4"/>
    </row>
    <row r="13" spans="1:13" x14ac:dyDescent="0.25">
      <c r="A13" s="4"/>
      <c r="B13" s="4"/>
      <c r="C13" s="4"/>
      <c r="D13" s="4"/>
      <c r="E13" s="4"/>
      <c r="F13" s="4"/>
      <c r="G13" s="4"/>
      <c r="H13" s="4"/>
      <c r="I13" s="4"/>
      <c r="J13" s="4"/>
      <c r="K13" s="4"/>
      <c r="L13" s="4"/>
      <c r="M13" s="4"/>
    </row>
    <row r="14" spans="1:13" x14ac:dyDescent="0.25">
      <c r="A14" s="4"/>
      <c r="B14" s="4"/>
      <c r="C14" s="4"/>
      <c r="D14" s="4"/>
      <c r="E14" s="4"/>
      <c r="F14" s="4"/>
      <c r="G14" s="4"/>
      <c r="H14" s="4"/>
      <c r="I14" s="4"/>
      <c r="J14" s="4"/>
      <c r="K14" s="4"/>
      <c r="L14" s="4"/>
      <c r="M14" s="4"/>
    </row>
    <row r="15" spans="1:13" x14ac:dyDescent="0.25">
      <c r="A15" s="4"/>
      <c r="B15" s="4"/>
      <c r="C15" s="4"/>
      <c r="D15" s="4"/>
      <c r="E15" s="4"/>
      <c r="F15" s="4"/>
      <c r="G15" s="4"/>
      <c r="H15" s="4"/>
      <c r="I15" s="4"/>
      <c r="J15" s="4"/>
      <c r="K15" s="4"/>
      <c r="L15" s="4"/>
      <c r="M15" s="4"/>
    </row>
    <row r="16" spans="1:13" x14ac:dyDescent="0.25">
      <c r="A16" s="4"/>
      <c r="B16" s="4"/>
      <c r="C16" s="4"/>
      <c r="D16" s="4"/>
      <c r="E16" s="4"/>
      <c r="F16" s="4"/>
      <c r="G16" s="4"/>
      <c r="H16" s="4"/>
      <c r="I16" s="4"/>
      <c r="J16" s="4"/>
      <c r="K16" s="4"/>
      <c r="L16" s="4"/>
      <c r="M16" s="4"/>
    </row>
    <row r="17" spans="1:13" x14ac:dyDescent="0.25">
      <c r="A17" s="4"/>
      <c r="B17" s="4"/>
      <c r="C17" s="4"/>
      <c r="D17" s="4"/>
      <c r="E17" s="4"/>
      <c r="F17" s="4"/>
      <c r="G17" s="4"/>
      <c r="H17" s="4"/>
      <c r="I17" s="4"/>
      <c r="J17" s="4"/>
      <c r="K17" s="4"/>
      <c r="L17" s="4"/>
      <c r="M17" s="4"/>
    </row>
    <row r="18" spans="1:13" x14ac:dyDescent="0.25">
      <c r="A18" s="4"/>
      <c r="B18" s="4"/>
      <c r="C18" s="4"/>
      <c r="D18" s="4"/>
      <c r="E18" s="4"/>
      <c r="F18" s="4"/>
      <c r="G18" s="4"/>
      <c r="H18" s="4"/>
      <c r="I18" s="4"/>
      <c r="J18" s="4"/>
      <c r="K18" s="4"/>
      <c r="L18" s="4"/>
      <c r="M18" s="4"/>
    </row>
    <row r="19" spans="1:13" x14ac:dyDescent="0.25">
      <c r="A19" s="4"/>
      <c r="B19" s="4"/>
      <c r="C19" s="4"/>
      <c r="D19" s="4"/>
      <c r="E19" s="4"/>
      <c r="F19" s="4"/>
      <c r="G19" s="4"/>
      <c r="H19" s="4"/>
      <c r="I19" s="4"/>
      <c r="J19" s="4"/>
      <c r="K19" s="4"/>
      <c r="L19" s="4"/>
      <c r="M19" s="4"/>
    </row>
    <row r="20" spans="1:13" x14ac:dyDescent="0.25">
      <c r="A20" s="4"/>
      <c r="B20" s="4"/>
      <c r="C20" s="4"/>
      <c r="D20" s="4"/>
      <c r="E20" s="4"/>
      <c r="F20" s="4"/>
      <c r="G20" s="4"/>
      <c r="H20" s="4"/>
      <c r="I20" s="4"/>
      <c r="J20" s="4"/>
      <c r="K20" s="4"/>
      <c r="L20" s="4"/>
      <c r="M20" s="4"/>
    </row>
    <row r="21" spans="1:13" x14ac:dyDescent="0.25">
      <c r="A21" s="4"/>
      <c r="B21" s="4"/>
      <c r="C21" s="4"/>
      <c r="D21" s="4"/>
      <c r="E21" s="4"/>
      <c r="F21" s="4"/>
      <c r="G21" s="4"/>
      <c r="H21" s="4"/>
      <c r="I21" s="4"/>
      <c r="J21" s="4"/>
      <c r="K21" s="4"/>
      <c r="L21" s="4"/>
      <c r="M21" s="4"/>
    </row>
    <row r="22" spans="1:13" x14ac:dyDescent="0.25">
      <c r="A22" s="4"/>
      <c r="B22" s="4"/>
      <c r="C22" s="4"/>
      <c r="D22" s="4"/>
      <c r="E22" s="4"/>
      <c r="F22" s="4"/>
      <c r="G22" s="4"/>
      <c r="H22" s="4"/>
      <c r="I22" s="4"/>
      <c r="J22" s="4"/>
      <c r="K22" s="4"/>
      <c r="L22" s="4"/>
      <c r="M22" s="4"/>
    </row>
    <row r="23" spans="1:13" x14ac:dyDescent="0.25">
      <c r="A23" s="4"/>
      <c r="B23" s="4"/>
      <c r="C23" s="4"/>
      <c r="D23" s="4"/>
      <c r="E23" s="4"/>
      <c r="F23" s="4"/>
      <c r="G23" s="4"/>
      <c r="H23" s="4"/>
      <c r="I23" s="4"/>
      <c r="J23" s="4"/>
      <c r="K23" s="4"/>
      <c r="L23" s="4"/>
      <c r="M23" s="4"/>
    </row>
    <row r="24" spans="1:13" x14ac:dyDescent="0.25">
      <c r="A24" s="4"/>
      <c r="B24" s="4"/>
      <c r="C24" s="4"/>
      <c r="D24" s="4"/>
      <c r="E24" s="4"/>
      <c r="F24" s="4"/>
      <c r="G24" s="4"/>
      <c r="H24" s="4"/>
      <c r="I24" s="4"/>
      <c r="J24" s="4"/>
      <c r="K24" s="4"/>
      <c r="L24" s="4"/>
      <c r="M24" s="4"/>
    </row>
    <row r="25" spans="1:13" x14ac:dyDescent="0.25">
      <c r="A25" s="4"/>
      <c r="B25" s="4"/>
      <c r="C25" s="4"/>
      <c r="D25" s="4"/>
      <c r="E25" s="4"/>
      <c r="F25" s="4"/>
      <c r="G25" s="4"/>
      <c r="H25" s="4"/>
      <c r="I25" s="4"/>
      <c r="J25" s="4"/>
      <c r="K25" s="4"/>
      <c r="L25" s="4"/>
      <c r="M25" s="4"/>
    </row>
    <row r="26" spans="1:13" x14ac:dyDescent="0.25">
      <c r="A26" s="4"/>
      <c r="B26" s="4"/>
      <c r="C26" s="4"/>
      <c r="D26" s="4"/>
      <c r="E26" s="4"/>
      <c r="F26" s="4"/>
      <c r="G26" s="4"/>
      <c r="H26" s="4"/>
      <c r="I26" s="4"/>
      <c r="J26" s="4"/>
      <c r="K26" s="4"/>
      <c r="L26" s="4"/>
      <c r="M26" s="4"/>
    </row>
    <row r="27" spans="1:13" x14ac:dyDescent="0.25">
      <c r="A27" s="4"/>
      <c r="B27" s="4"/>
      <c r="C27" s="4"/>
      <c r="D27" s="4"/>
      <c r="E27" s="4"/>
      <c r="F27" s="4"/>
      <c r="G27" s="4"/>
      <c r="H27" s="4"/>
      <c r="I27" s="4"/>
      <c r="J27" s="4"/>
      <c r="K27" s="4"/>
      <c r="L27" s="4"/>
      <c r="M27" s="4"/>
    </row>
    <row r="28" spans="1:13" x14ac:dyDescent="0.25">
      <c r="A28" s="4"/>
      <c r="B28" s="4"/>
      <c r="C28" s="4"/>
      <c r="D28" s="4"/>
      <c r="E28" s="4"/>
      <c r="F28" s="4"/>
      <c r="G28" s="4"/>
      <c r="H28" s="4"/>
      <c r="I28" s="4"/>
      <c r="J28" s="4"/>
      <c r="K28" s="4"/>
      <c r="L28" s="4"/>
      <c r="M28" s="4"/>
    </row>
    <row r="29" spans="1:13" x14ac:dyDescent="0.25">
      <c r="A29" s="4"/>
      <c r="B29" s="4"/>
      <c r="C29" s="4"/>
      <c r="D29" s="4"/>
      <c r="E29" s="4"/>
      <c r="F29" s="4"/>
      <c r="G29" s="4"/>
      <c r="H29" s="4"/>
      <c r="I29" s="4"/>
      <c r="J29" s="4"/>
      <c r="K29" s="4"/>
      <c r="L29" s="4"/>
      <c r="M29" s="4"/>
    </row>
    <row r="30" spans="1:13" x14ac:dyDescent="0.25">
      <c r="A30" s="4"/>
      <c r="B30" s="4"/>
      <c r="C30" s="4"/>
      <c r="D30" s="4"/>
      <c r="E30" s="4"/>
      <c r="F30" s="4"/>
      <c r="G30" s="4"/>
      <c r="H30" s="4"/>
      <c r="I30" s="4"/>
      <c r="J30" s="4"/>
      <c r="K30" s="4"/>
      <c r="L30" s="4"/>
      <c r="M30" s="4"/>
    </row>
    <row r="31" spans="1:13" x14ac:dyDescent="0.25">
      <c r="A31" s="4"/>
      <c r="B31" s="4"/>
      <c r="C31" s="4"/>
      <c r="D31" s="4"/>
      <c r="E31" s="4"/>
      <c r="F31" s="4"/>
      <c r="G31" s="4"/>
      <c r="H31" s="4"/>
      <c r="I31" s="4"/>
      <c r="J31" s="4"/>
      <c r="K31" s="4"/>
      <c r="L31" s="4"/>
      <c r="M31" s="4"/>
    </row>
    <row r="32" spans="1:13" x14ac:dyDescent="0.25">
      <c r="A32" s="4"/>
      <c r="B32" s="4"/>
      <c r="C32" s="4"/>
      <c r="D32" s="4"/>
      <c r="E32" s="4"/>
      <c r="F32" s="4"/>
      <c r="G32" s="4"/>
      <c r="H32" s="4"/>
      <c r="I32" s="4"/>
      <c r="J32" s="4"/>
      <c r="K32" s="4"/>
      <c r="L32" s="4"/>
      <c r="M32" s="4"/>
    </row>
    <row r="33" spans="1:13" x14ac:dyDescent="0.25">
      <c r="A33" s="4"/>
      <c r="B33" s="4"/>
      <c r="C33" s="4"/>
      <c r="D33" s="4"/>
      <c r="E33" s="4"/>
      <c r="F33" s="4"/>
      <c r="G33" s="4"/>
      <c r="H33" s="4"/>
      <c r="I33" s="4"/>
      <c r="J33" s="4"/>
      <c r="K33" s="4"/>
      <c r="L33" s="4"/>
      <c r="M33" s="4"/>
    </row>
    <row r="34" spans="1:13" x14ac:dyDescent="0.25">
      <c r="A34" s="4"/>
      <c r="B34" s="4"/>
      <c r="C34" s="4"/>
      <c r="D34" s="4"/>
      <c r="E34" s="4"/>
      <c r="F34" s="4"/>
      <c r="G34" s="4"/>
      <c r="H34" s="4"/>
      <c r="I34" s="4"/>
      <c r="J34" s="4"/>
      <c r="K34" s="4"/>
      <c r="L34" s="4"/>
      <c r="M34" s="4"/>
    </row>
    <row r="35" spans="1:13" x14ac:dyDescent="0.25">
      <c r="A35" s="4"/>
      <c r="B35" s="4"/>
      <c r="C35" s="4"/>
      <c r="D35" s="4"/>
      <c r="E35" s="4"/>
      <c r="F35" s="4"/>
      <c r="G35" s="4"/>
      <c r="H35" s="4"/>
      <c r="I35" s="4"/>
      <c r="J35" s="4"/>
      <c r="K35" s="4"/>
      <c r="L35" s="4"/>
      <c r="M35" s="4"/>
    </row>
    <row r="36" spans="1:13" x14ac:dyDescent="0.25">
      <c r="A36" s="4"/>
      <c r="B36" s="4"/>
      <c r="C36" s="4"/>
      <c r="D36" s="4"/>
      <c r="E36" s="4"/>
      <c r="F36" s="4"/>
      <c r="G36" s="4"/>
      <c r="H36" s="4"/>
      <c r="I36" s="4"/>
      <c r="J36" s="4"/>
      <c r="K36" s="4"/>
      <c r="L36" s="4"/>
      <c r="M36" s="4"/>
    </row>
    <row r="37" spans="1:13" x14ac:dyDescent="0.25">
      <c r="A37" s="4"/>
      <c r="B37" s="4"/>
      <c r="C37" s="4"/>
      <c r="D37" s="4"/>
      <c r="E37" s="4"/>
      <c r="F37" s="4"/>
      <c r="G37" s="4"/>
      <c r="H37" s="4"/>
      <c r="I37" s="4"/>
      <c r="J37" s="4"/>
      <c r="K37" s="4"/>
      <c r="L37" s="4"/>
      <c r="M37" s="4"/>
    </row>
    <row r="38" spans="1:13" x14ac:dyDescent="0.25">
      <c r="A38" s="4"/>
      <c r="B38" s="4"/>
      <c r="C38" s="4"/>
      <c r="D38" s="4"/>
      <c r="E38" s="4"/>
      <c r="F38" s="4"/>
      <c r="G38" s="4"/>
      <c r="H38" s="4"/>
      <c r="I38" s="4"/>
      <c r="J38" s="4"/>
      <c r="K38" s="4"/>
      <c r="L38" s="4"/>
      <c r="M38" s="4"/>
    </row>
    <row r="39" spans="1:13" x14ac:dyDescent="0.25">
      <c r="A39" s="4"/>
      <c r="B39" s="4"/>
      <c r="C39" s="4"/>
      <c r="D39" s="4"/>
      <c r="E39" s="4"/>
      <c r="F39" s="4"/>
      <c r="G39" s="4"/>
      <c r="H39" s="4"/>
      <c r="I39" s="4"/>
      <c r="J39" s="4"/>
      <c r="K39" s="4"/>
      <c r="L39" s="4"/>
      <c r="M39" s="4"/>
    </row>
    <row r="40" spans="1:13" x14ac:dyDescent="0.25">
      <c r="A40" s="4"/>
      <c r="B40" s="4"/>
      <c r="C40" s="4"/>
      <c r="D40" s="4"/>
      <c r="E40" s="4"/>
      <c r="F40" s="4"/>
      <c r="G40" s="4"/>
      <c r="H40" s="4"/>
      <c r="I40" s="4"/>
      <c r="J40" s="4"/>
      <c r="K40" s="4"/>
      <c r="L40" s="4"/>
      <c r="M40" s="4"/>
    </row>
    <row r="41" spans="1:13" x14ac:dyDescent="0.25">
      <c r="A41" s="4"/>
      <c r="B41" s="4"/>
      <c r="C41" s="4"/>
      <c r="D41" s="4"/>
      <c r="E41" s="4"/>
      <c r="F41" s="4"/>
      <c r="G41" s="4"/>
      <c r="H41" s="4"/>
      <c r="I41" s="4"/>
      <c r="J41" s="4"/>
      <c r="K41" s="4"/>
      <c r="L41" s="4"/>
      <c r="M41" s="4"/>
    </row>
    <row r="42" spans="1:13" x14ac:dyDescent="0.25">
      <c r="A42" s="4"/>
      <c r="B42" s="4"/>
      <c r="C42" s="4"/>
      <c r="D42" s="4"/>
      <c r="E42" s="4"/>
      <c r="F42" s="4"/>
      <c r="G42" s="4"/>
      <c r="H42" s="4"/>
      <c r="I42" s="4"/>
      <c r="J42" s="4"/>
      <c r="K42" s="4"/>
      <c r="L42" s="4"/>
      <c r="M42" s="4"/>
    </row>
    <row r="43" spans="1:13" x14ac:dyDescent="0.25">
      <c r="A43" s="4"/>
      <c r="B43" s="4"/>
      <c r="C43" s="4"/>
      <c r="D43" s="4"/>
      <c r="E43" s="4"/>
      <c r="F43" s="4"/>
      <c r="G43" s="4"/>
      <c r="H43" s="4"/>
      <c r="I43" s="4"/>
      <c r="J43" s="4"/>
      <c r="K43" s="4"/>
      <c r="L43" s="4"/>
      <c r="M43" s="4"/>
    </row>
    <row r="44" spans="1:13" x14ac:dyDescent="0.25">
      <c r="A44" s="4"/>
      <c r="B44" s="4"/>
      <c r="C44" s="4"/>
      <c r="D44" s="4"/>
      <c r="E44" s="4"/>
      <c r="F44" s="4"/>
      <c r="G44" s="4"/>
      <c r="H44" s="4"/>
      <c r="I44" s="4"/>
      <c r="J44" s="4"/>
      <c r="K44" s="4"/>
      <c r="L44" s="4"/>
      <c r="M44" s="4"/>
    </row>
    <row r="45" spans="1:13" x14ac:dyDescent="0.25">
      <c r="A45" s="4"/>
      <c r="B45" s="4"/>
      <c r="C45" s="4"/>
      <c r="D45" s="4"/>
      <c r="E45" s="4"/>
      <c r="F45" s="4"/>
      <c r="G45" s="4"/>
      <c r="H45" s="4"/>
      <c r="I45" s="4"/>
      <c r="J45" s="4"/>
      <c r="K45" s="4"/>
      <c r="L45" s="4"/>
      <c r="M45" s="4"/>
    </row>
    <row r="46" spans="1:13" x14ac:dyDescent="0.25">
      <c r="A46" s="4"/>
      <c r="B46" s="4"/>
      <c r="C46" s="4"/>
      <c r="D46" s="4"/>
      <c r="E46" s="4"/>
      <c r="F46" s="4"/>
      <c r="G46" s="4"/>
      <c r="H46" s="4"/>
      <c r="I46" s="4"/>
      <c r="J46" s="4"/>
      <c r="K46" s="4"/>
      <c r="L46" s="4"/>
      <c r="M46" s="4"/>
    </row>
    <row r="47" spans="1:13" x14ac:dyDescent="0.25">
      <c r="A47" s="4"/>
      <c r="B47" s="4"/>
      <c r="C47" s="4"/>
      <c r="D47" s="4"/>
      <c r="E47" s="4"/>
      <c r="F47" s="4"/>
      <c r="G47" s="4"/>
      <c r="H47" s="4"/>
      <c r="I47" s="4"/>
      <c r="J47" s="4"/>
      <c r="K47" s="4"/>
      <c r="L47" s="4"/>
      <c r="M47" s="4"/>
    </row>
    <row r="48" spans="1:13" x14ac:dyDescent="0.25">
      <c r="A48" s="4"/>
      <c r="B48" s="4"/>
      <c r="C48" s="4"/>
      <c r="D48" s="4"/>
      <c r="E48" s="4"/>
      <c r="F48" s="4"/>
      <c r="G48" s="4"/>
      <c r="H48" s="4"/>
      <c r="I48" s="4"/>
      <c r="J48" s="4"/>
      <c r="K48" s="4"/>
      <c r="L48" s="4"/>
      <c r="M48" s="4"/>
    </row>
    <row r="49" spans="1:13" x14ac:dyDescent="0.25">
      <c r="A49" s="4"/>
      <c r="B49" s="4"/>
      <c r="C49" s="4"/>
      <c r="D49" s="4"/>
      <c r="E49" s="4"/>
      <c r="F49" s="4"/>
      <c r="G49" s="4"/>
      <c r="H49" s="4"/>
      <c r="I49" s="4"/>
      <c r="J49" s="4"/>
      <c r="K49" s="4"/>
      <c r="L49" s="4"/>
      <c r="M49" s="4"/>
    </row>
    <row r="50" spans="1:13" x14ac:dyDescent="0.25">
      <c r="A50" s="4"/>
      <c r="B50" s="4"/>
      <c r="C50" s="4"/>
      <c r="D50" s="4"/>
      <c r="E50" s="4"/>
      <c r="F50" s="4"/>
      <c r="G50" s="4"/>
      <c r="H50" s="4"/>
      <c r="I50" s="4"/>
      <c r="J50" s="4"/>
      <c r="K50" s="4"/>
      <c r="L50" s="4"/>
      <c r="M50" s="4"/>
    </row>
    <row r="51" spans="1:13" x14ac:dyDescent="0.25">
      <c r="A51" s="4"/>
      <c r="B51" s="4"/>
      <c r="C51" s="4"/>
      <c r="D51" s="4"/>
      <c r="E51" s="4"/>
      <c r="F51" s="4"/>
      <c r="G51" s="4"/>
      <c r="H51" s="4"/>
      <c r="I51" s="4"/>
      <c r="J51" s="4"/>
      <c r="K51" s="4"/>
      <c r="L51" s="4"/>
      <c r="M51" s="4"/>
    </row>
    <row r="52" spans="1:13" x14ac:dyDescent="0.25">
      <c r="A52" s="4"/>
      <c r="B52" s="4"/>
      <c r="C52" s="4"/>
      <c r="D52" s="4"/>
      <c r="E52" s="4"/>
      <c r="F52" s="4"/>
      <c r="G52" s="4"/>
      <c r="H52" s="4"/>
      <c r="I52" s="4"/>
      <c r="J52" s="4"/>
      <c r="K52" s="4"/>
      <c r="L52" s="4"/>
      <c r="M52" s="4"/>
    </row>
    <row r="53" spans="1:13" x14ac:dyDescent="0.25">
      <c r="A53" s="4"/>
      <c r="B53" s="4"/>
      <c r="C53" s="4"/>
      <c r="D53" s="4"/>
      <c r="E53" s="4"/>
      <c r="F53" s="4"/>
      <c r="G53" s="4"/>
      <c r="H53" s="4"/>
      <c r="I53" s="4"/>
      <c r="J53" s="4"/>
      <c r="K53" s="4"/>
      <c r="L53" s="4"/>
      <c r="M53" s="4"/>
    </row>
    <row r="54" spans="1:13" x14ac:dyDescent="0.25">
      <c r="A54" s="4"/>
      <c r="B54" s="4"/>
      <c r="C54" s="4"/>
      <c r="D54" s="4"/>
      <c r="E54" s="4"/>
      <c r="F54" s="4"/>
      <c r="G54" s="4"/>
      <c r="H54" s="4"/>
      <c r="I54" s="4"/>
      <c r="J54" s="4"/>
      <c r="K54" s="4"/>
      <c r="L54" s="4"/>
      <c r="M54" s="4"/>
    </row>
    <row r="55" spans="1:13" x14ac:dyDescent="0.25">
      <c r="A55" s="4"/>
      <c r="B55" s="4"/>
      <c r="C55" s="4"/>
      <c r="D55" s="4"/>
      <c r="E55" s="4"/>
      <c r="F55" s="4"/>
      <c r="G55" s="4"/>
      <c r="H55" s="4"/>
      <c r="I55" s="4"/>
      <c r="J55" s="4"/>
      <c r="K55" s="4"/>
      <c r="L55" s="4"/>
      <c r="M55" s="4"/>
    </row>
    <row r="56" spans="1:13" x14ac:dyDescent="0.25">
      <c r="A56" s="4"/>
      <c r="B56" s="4"/>
      <c r="C56" s="4"/>
      <c r="D56" s="4"/>
      <c r="E56" s="4"/>
      <c r="F56" s="4"/>
      <c r="G56" s="4"/>
      <c r="H56" s="4"/>
      <c r="I56" s="4"/>
      <c r="J56" s="4"/>
      <c r="K56" s="4"/>
      <c r="L56" s="4"/>
      <c r="M56" s="4"/>
    </row>
    <row r="57" spans="1:13" x14ac:dyDescent="0.25">
      <c r="A57" s="4"/>
      <c r="B57" s="4"/>
      <c r="C57" s="4"/>
      <c r="D57" s="4"/>
      <c r="E57" s="4"/>
      <c r="F57" s="4"/>
      <c r="G57" s="4"/>
      <c r="H57" s="4"/>
      <c r="I57" s="4"/>
      <c r="J57" s="4"/>
      <c r="K57" s="4"/>
      <c r="L57" s="4"/>
      <c r="M57" s="4"/>
    </row>
    <row r="58" spans="1:13" x14ac:dyDescent="0.25">
      <c r="A58" s="4"/>
      <c r="B58" s="4"/>
      <c r="C58" s="4"/>
      <c r="D58" s="4"/>
      <c r="E58" s="4"/>
      <c r="F58" s="4"/>
      <c r="G58" s="4"/>
      <c r="H58" s="4"/>
      <c r="I58" s="4"/>
      <c r="J58" s="4"/>
      <c r="K58" s="4"/>
      <c r="L58" s="4"/>
      <c r="M58" s="4"/>
    </row>
    <row r="59" spans="1:13" x14ac:dyDescent="0.25">
      <c r="A59" s="4"/>
      <c r="B59" s="4"/>
      <c r="C59" s="4"/>
      <c r="D59" s="4"/>
      <c r="E59" s="4"/>
      <c r="F59" s="4"/>
      <c r="G59" s="4"/>
      <c r="H59" s="4"/>
      <c r="I59" s="4"/>
      <c r="J59" s="4"/>
      <c r="K59" s="4"/>
      <c r="L59" s="4"/>
      <c r="M59" s="4"/>
    </row>
    <row r="60" spans="1:13" x14ac:dyDescent="0.25">
      <c r="A60" s="4"/>
      <c r="B60" s="4"/>
      <c r="C60" s="4"/>
      <c r="D60" s="4"/>
      <c r="E60" s="4"/>
      <c r="F60" s="4"/>
      <c r="G60" s="4"/>
      <c r="H60" s="4"/>
      <c r="I60" s="4"/>
      <c r="J60" s="4"/>
      <c r="K60" s="4"/>
      <c r="L60" s="4"/>
      <c r="M60" s="4"/>
    </row>
    <row r="61" spans="1:13" x14ac:dyDescent="0.25">
      <c r="A61" s="4"/>
      <c r="B61" s="4"/>
      <c r="C61" s="4"/>
      <c r="D61" s="4"/>
      <c r="E61" s="4"/>
      <c r="F61" s="4"/>
      <c r="G61" s="4"/>
      <c r="H61" s="4"/>
      <c r="I61" s="4"/>
      <c r="J61" s="4"/>
      <c r="K61" s="4"/>
      <c r="L61" s="4"/>
      <c r="M61" s="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N35"/>
  <sheetViews>
    <sheetView workbookViewId="0">
      <selection activeCell="A33" sqref="A33"/>
    </sheetView>
  </sheetViews>
  <sheetFormatPr defaultColWidth="8.85546875" defaultRowHeight="15" x14ac:dyDescent="0.25"/>
  <cols>
    <col min="1" max="1" width="39.5703125" bestFit="1" customWidth="1"/>
  </cols>
  <sheetData>
    <row r="2" spans="1:11" x14ac:dyDescent="0.25">
      <c r="A2" s="5" t="s">
        <v>31</v>
      </c>
      <c r="B2" t="s">
        <v>0</v>
      </c>
      <c r="D2" t="s">
        <v>0</v>
      </c>
      <c r="G2" s="1"/>
      <c r="H2" s="1"/>
      <c r="I2" s="1" t="s">
        <v>0</v>
      </c>
      <c r="J2" s="1"/>
      <c r="K2" s="1"/>
    </row>
    <row r="3" spans="1:11" x14ac:dyDescent="0.25">
      <c r="A3" t="s">
        <v>32</v>
      </c>
      <c r="G3" s="1"/>
      <c r="H3" s="1"/>
      <c r="I3" s="1"/>
      <c r="J3" s="1"/>
      <c r="K3" s="1"/>
    </row>
    <row r="4" spans="1:11" x14ac:dyDescent="0.25">
      <c r="B4">
        <f t="array" ref="B4:B9">ones(6,1)</f>
        <v>1</v>
      </c>
      <c r="D4">
        <f t="array" ref="D4:G4">ones(1,4)</f>
        <v>1</v>
      </c>
      <c r="E4">
        <v>1</v>
      </c>
      <c r="F4">
        <v>1</v>
      </c>
      <c r="G4">
        <v>1</v>
      </c>
      <c r="I4">
        <f t="array" ref="I4:K8">ones(5,3)</f>
        <v>1</v>
      </c>
      <c r="J4">
        <v>1</v>
      </c>
      <c r="K4">
        <v>1</v>
      </c>
    </row>
    <row r="5" spans="1:11" x14ac:dyDescent="0.25">
      <c r="B5">
        <v>1</v>
      </c>
      <c r="I5">
        <v>1</v>
      </c>
      <c r="J5">
        <v>1</v>
      </c>
      <c r="K5">
        <v>1</v>
      </c>
    </row>
    <row r="6" spans="1:11" x14ac:dyDescent="0.25">
      <c r="B6">
        <v>1</v>
      </c>
      <c r="I6">
        <v>1</v>
      </c>
      <c r="J6">
        <v>1</v>
      </c>
      <c r="K6">
        <v>1</v>
      </c>
    </row>
    <row r="7" spans="1:11" x14ac:dyDescent="0.25">
      <c r="B7">
        <v>1</v>
      </c>
      <c r="I7">
        <v>1</v>
      </c>
      <c r="J7">
        <v>1</v>
      </c>
      <c r="K7">
        <v>1</v>
      </c>
    </row>
    <row r="8" spans="1:11" x14ac:dyDescent="0.25">
      <c r="B8">
        <v>1</v>
      </c>
      <c r="I8">
        <v>1</v>
      </c>
      <c r="J8">
        <v>1</v>
      </c>
      <c r="K8">
        <v>1</v>
      </c>
    </row>
    <row r="9" spans="1:11" x14ac:dyDescent="0.25">
      <c r="B9">
        <v>1</v>
      </c>
    </row>
    <row r="11" spans="1:11" x14ac:dyDescent="0.25">
      <c r="A11" s="5" t="s">
        <v>33</v>
      </c>
      <c r="B11" t="s">
        <v>1</v>
      </c>
      <c r="D11" t="s">
        <v>1</v>
      </c>
      <c r="G11" s="1"/>
      <c r="H11" s="1"/>
      <c r="I11" s="1" t="s">
        <v>1</v>
      </c>
      <c r="J11" s="1"/>
      <c r="K11" s="1"/>
    </row>
    <row r="12" spans="1:11" x14ac:dyDescent="0.25">
      <c r="A12" t="s">
        <v>34</v>
      </c>
      <c r="G12" s="1"/>
      <c r="H12" s="1"/>
      <c r="I12" s="1"/>
      <c r="J12" s="1"/>
      <c r="K12" s="1"/>
    </row>
    <row r="13" spans="1:11" x14ac:dyDescent="0.25">
      <c r="B13">
        <f t="array" ref="B13:B18">zeros(6,1)</f>
        <v>0</v>
      </c>
      <c r="D13">
        <f t="array" ref="D13:G13">zeros(1,4)</f>
        <v>0</v>
      </c>
      <c r="E13">
        <v>0</v>
      </c>
      <c r="F13">
        <v>0</v>
      </c>
      <c r="G13">
        <v>0</v>
      </c>
      <c r="I13">
        <f t="array" ref="I13:K17">zeros(5,3)</f>
        <v>0</v>
      </c>
      <c r="J13">
        <v>0</v>
      </c>
      <c r="K13">
        <v>0</v>
      </c>
    </row>
    <row r="14" spans="1:11" x14ac:dyDescent="0.25">
      <c r="B14">
        <v>0</v>
      </c>
      <c r="I14">
        <v>0</v>
      </c>
      <c r="J14">
        <v>0</v>
      </c>
      <c r="K14">
        <v>0</v>
      </c>
    </row>
    <row r="15" spans="1:11" x14ac:dyDescent="0.25">
      <c r="B15">
        <v>0</v>
      </c>
      <c r="I15">
        <v>0</v>
      </c>
      <c r="J15">
        <v>0</v>
      </c>
      <c r="K15">
        <v>0</v>
      </c>
    </row>
    <row r="16" spans="1:11" x14ac:dyDescent="0.25">
      <c r="B16">
        <v>0</v>
      </c>
      <c r="I16">
        <v>0</v>
      </c>
      <c r="J16">
        <v>0</v>
      </c>
      <c r="K16">
        <v>0</v>
      </c>
    </row>
    <row r="17" spans="1:14" x14ac:dyDescent="0.25">
      <c r="B17">
        <v>0</v>
      </c>
      <c r="I17">
        <v>0</v>
      </c>
      <c r="J17">
        <v>0</v>
      </c>
      <c r="K17">
        <v>0</v>
      </c>
    </row>
    <row r="18" spans="1:14" x14ac:dyDescent="0.25">
      <c r="B18">
        <v>0</v>
      </c>
    </row>
    <row r="20" spans="1:14" x14ac:dyDescent="0.25">
      <c r="A20" s="5" t="s">
        <v>35</v>
      </c>
      <c r="B20" t="s">
        <v>2</v>
      </c>
      <c r="D20" t="s">
        <v>2</v>
      </c>
      <c r="J20" t="s">
        <v>2</v>
      </c>
    </row>
    <row r="21" spans="1:14" x14ac:dyDescent="0.25">
      <c r="A21" t="s">
        <v>36</v>
      </c>
    </row>
    <row r="22" spans="1:14" x14ac:dyDescent="0.25">
      <c r="B22">
        <v>1</v>
      </c>
      <c r="D22">
        <f t="array" ref="D22:H26">diag(B22:B26)</f>
        <v>1</v>
      </c>
      <c r="E22">
        <v>0</v>
      </c>
      <c r="F22">
        <v>0</v>
      </c>
      <c r="G22">
        <v>0</v>
      </c>
      <c r="H22">
        <v>0</v>
      </c>
      <c r="J22">
        <v>1</v>
      </c>
      <c r="K22">
        <v>2</v>
      </c>
      <c r="L22">
        <v>3</v>
      </c>
      <c r="M22">
        <v>4</v>
      </c>
      <c r="N22">
        <v>5</v>
      </c>
    </row>
    <row r="23" spans="1:14" x14ac:dyDescent="0.25">
      <c r="B23">
        <v>2</v>
      </c>
      <c r="D23">
        <v>0</v>
      </c>
      <c r="E23">
        <v>2</v>
      </c>
      <c r="F23">
        <v>0</v>
      </c>
      <c r="G23">
        <v>0</v>
      </c>
      <c r="H23">
        <v>0</v>
      </c>
    </row>
    <row r="24" spans="1:14" x14ac:dyDescent="0.25">
      <c r="B24">
        <v>3</v>
      </c>
      <c r="D24">
        <v>0</v>
      </c>
      <c r="E24">
        <v>0</v>
      </c>
      <c r="F24">
        <v>3</v>
      </c>
      <c r="G24">
        <v>0</v>
      </c>
      <c r="H24">
        <v>0</v>
      </c>
      <c r="J24">
        <f t="array" ref="J24:N28">diag(J22:N22)</f>
        <v>1</v>
      </c>
      <c r="K24">
        <v>0</v>
      </c>
      <c r="L24">
        <v>0</v>
      </c>
      <c r="M24">
        <v>0</v>
      </c>
      <c r="N24">
        <v>0</v>
      </c>
    </row>
    <row r="25" spans="1:14" x14ac:dyDescent="0.25">
      <c r="B25">
        <v>4</v>
      </c>
      <c r="D25">
        <v>0</v>
      </c>
      <c r="E25">
        <v>0</v>
      </c>
      <c r="F25">
        <v>0</v>
      </c>
      <c r="G25">
        <v>4</v>
      </c>
      <c r="H25">
        <v>0</v>
      </c>
      <c r="J25">
        <v>0</v>
      </c>
      <c r="K25">
        <v>2</v>
      </c>
      <c r="L25">
        <v>0</v>
      </c>
      <c r="M25">
        <v>0</v>
      </c>
      <c r="N25">
        <v>0</v>
      </c>
    </row>
    <row r="26" spans="1:14" x14ac:dyDescent="0.25">
      <c r="B26">
        <v>5</v>
      </c>
      <c r="D26">
        <v>0</v>
      </c>
      <c r="E26">
        <v>0</v>
      </c>
      <c r="F26">
        <v>0</v>
      </c>
      <c r="G26">
        <v>0</v>
      </c>
      <c r="H26">
        <v>5</v>
      </c>
      <c r="J26">
        <v>0</v>
      </c>
      <c r="K26">
        <v>0</v>
      </c>
      <c r="L26">
        <v>3</v>
      </c>
      <c r="M26">
        <v>0</v>
      </c>
      <c r="N26">
        <v>0</v>
      </c>
    </row>
    <row r="27" spans="1:14" x14ac:dyDescent="0.25">
      <c r="J27">
        <v>0</v>
      </c>
      <c r="K27">
        <v>0</v>
      </c>
      <c r="L27">
        <v>0</v>
      </c>
      <c r="M27">
        <v>4</v>
      </c>
      <c r="N27">
        <v>0</v>
      </c>
    </row>
    <row r="28" spans="1:14" x14ac:dyDescent="0.25">
      <c r="J28">
        <v>0</v>
      </c>
      <c r="K28">
        <v>0</v>
      </c>
      <c r="L28">
        <v>0</v>
      </c>
      <c r="M28">
        <v>0</v>
      </c>
      <c r="N28">
        <v>5</v>
      </c>
    </row>
    <row r="31" spans="1:14" x14ac:dyDescent="0.25">
      <c r="A31" s="5" t="s">
        <v>37</v>
      </c>
      <c r="B31" t="s">
        <v>3</v>
      </c>
    </row>
    <row r="32" spans="1:14" x14ac:dyDescent="0.25">
      <c r="A32" t="s">
        <v>38</v>
      </c>
    </row>
    <row r="33" spans="2:4" x14ac:dyDescent="0.25">
      <c r="B33">
        <f t="array" ref="B33:D35">eye(3)</f>
        <v>1</v>
      </c>
      <c r="C33">
        <v>0</v>
      </c>
      <c r="D33">
        <v>0</v>
      </c>
    </row>
    <row r="34" spans="2:4" x14ac:dyDescent="0.25">
      <c r="B34">
        <v>0</v>
      </c>
      <c r="C34">
        <v>1</v>
      </c>
      <c r="D34">
        <v>0</v>
      </c>
    </row>
    <row r="35" spans="2:4" x14ac:dyDescent="0.25">
      <c r="B35">
        <v>0</v>
      </c>
      <c r="C35">
        <v>0</v>
      </c>
      <c r="D35">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V25"/>
  <sheetViews>
    <sheetView workbookViewId="0">
      <selection activeCell="A2" sqref="A2:A3"/>
    </sheetView>
  </sheetViews>
  <sheetFormatPr defaultRowHeight="15" x14ac:dyDescent="0.25"/>
  <cols>
    <col min="1" max="1" width="27.140625" bestFit="1" customWidth="1"/>
    <col min="2" max="2" width="13.7109375" bestFit="1" customWidth="1"/>
  </cols>
  <sheetData>
    <row r="2" spans="1:22" x14ac:dyDescent="0.25">
      <c r="A2" s="5" t="s">
        <v>41</v>
      </c>
      <c r="B2" t="s">
        <v>4</v>
      </c>
    </row>
    <row r="3" spans="1:22" x14ac:dyDescent="0.25">
      <c r="A3" t="s">
        <v>42</v>
      </c>
      <c r="B3" t="s">
        <v>39</v>
      </c>
      <c r="D3" t="s">
        <v>40</v>
      </c>
    </row>
    <row r="4" spans="1:22" x14ac:dyDescent="0.25">
      <c r="B4">
        <v>1</v>
      </c>
      <c r="D4">
        <v>6</v>
      </c>
      <c r="E4">
        <v>1</v>
      </c>
      <c r="F4">
        <v>13</v>
      </c>
      <c r="H4">
        <f t="array" ref="H4:K8">MaddCols(B4:B8,D4:F8)</f>
        <v>1</v>
      </c>
      <c r="I4">
        <v>6</v>
      </c>
      <c r="J4">
        <v>1</v>
      </c>
      <c r="K4">
        <v>13</v>
      </c>
      <c r="M4">
        <f t="array" ref="M4:P8">MaddCols(D4:F8,B4:B8)</f>
        <v>6</v>
      </c>
      <c r="N4">
        <v>1</v>
      </c>
      <c r="O4">
        <v>13</v>
      </c>
      <c r="P4">
        <v>1</v>
      </c>
    </row>
    <row r="5" spans="1:22" x14ac:dyDescent="0.25">
      <c r="B5">
        <v>2</v>
      </c>
      <c r="D5">
        <v>15</v>
      </c>
      <c r="E5">
        <v>16</v>
      </c>
      <c r="F5">
        <v>12</v>
      </c>
      <c r="H5">
        <v>2</v>
      </c>
      <c r="I5">
        <v>15</v>
      </c>
      <c r="J5">
        <v>16</v>
      </c>
      <c r="K5">
        <v>12</v>
      </c>
      <c r="M5">
        <v>15</v>
      </c>
      <c r="N5">
        <v>16</v>
      </c>
      <c r="O5">
        <v>12</v>
      </c>
      <c r="P5">
        <v>2</v>
      </c>
    </row>
    <row r="6" spans="1:22" x14ac:dyDescent="0.25">
      <c r="B6">
        <v>3</v>
      </c>
      <c r="D6">
        <v>6</v>
      </c>
      <c r="E6">
        <v>19</v>
      </c>
      <c r="F6">
        <v>20</v>
      </c>
      <c r="H6">
        <v>3</v>
      </c>
      <c r="I6">
        <v>6</v>
      </c>
      <c r="J6">
        <v>19</v>
      </c>
      <c r="K6">
        <v>20</v>
      </c>
      <c r="M6">
        <v>6</v>
      </c>
      <c r="N6">
        <v>19</v>
      </c>
      <c r="O6">
        <v>20</v>
      </c>
      <c r="P6">
        <v>3</v>
      </c>
    </row>
    <row r="7" spans="1:22" x14ac:dyDescent="0.25">
      <c r="B7">
        <v>4</v>
      </c>
      <c r="D7">
        <v>20</v>
      </c>
      <c r="E7">
        <v>17</v>
      </c>
      <c r="F7">
        <v>18</v>
      </c>
      <c r="H7">
        <v>4</v>
      </c>
      <c r="I7">
        <v>20</v>
      </c>
      <c r="J7">
        <v>17</v>
      </c>
      <c r="K7">
        <v>18</v>
      </c>
      <c r="M7">
        <v>20</v>
      </c>
      <c r="N7">
        <v>17</v>
      </c>
      <c r="O7">
        <v>18</v>
      </c>
      <c r="P7">
        <v>4</v>
      </c>
    </row>
    <row r="8" spans="1:22" x14ac:dyDescent="0.25">
      <c r="B8">
        <v>5</v>
      </c>
      <c r="D8">
        <v>11</v>
      </c>
      <c r="E8">
        <v>14</v>
      </c>
      <c r="F8">
        <v>2</v>
      </c>
      <c r="H8">
        <v>5</v>
      </c>
      <c r="I8">
        <v>11</v>
      </c>
      <c r="J8">
        <v>14</v>
      </c>
      <c r="K8">
        <v>2</v>
      </c>
      <c r="M8">
        <v>11</v>
      </c>
      <c r="N8">
        <v>14</v>
      </c>
      <c r="O8">
        <v>2</v>
      </c>
      <c r="P8">
        <v>5</v>
      </c>
    </row>
    <row r="11" spans="1:22" x14ac:dyDescent="0.25">
      <c r="B11" t="s">
        <v>4</v>
      </c>
    </row>
    <row r="12" spans="1:22" x14ac:dyDescent="0.25">
      <c r="B12" t="s">
        <v>39</v>
      </c>
      <c r="F12" t="s">
        <v>40</v>
      </c>
    </row>
    <row r="13" spans="1:22" x14ac:dyDescent="0.25">
      <c r="B13">
        <v>1</v>
      </c>
      <c r="C13">
        <v>6</v>
      </c>
      <c r="D13">
        <v>11</v>
      </c>
      <c r="F13">
        <v>6</v>
      </c>
      <c r="G13">
        <v>1</v>
      </c>
      <c r="H13">
        <v>13</v>
      </c>
      <c r="J13">
        <f t="array" ref="J13:O17">MaddCols(B13:D17,F13:H17)</f>
        <v>1</v>
      </c>
      <c r="K13">
        <v>6</v>
      </c>
      <c r="L13">
        <v>11</v>
      </c>
      <c r="M13">
        <v>6</v>
      </c>
      <c r="N13">
        <v>1</v>
      </c>
      <c r="O13">
        <v>13</v>
      </c>
      <c r="Q13">
        <f t="array" ref="Q13:V17">MaddCols(F13:H17,B13:D17)</f>
        <v>6</v>
      </c>
      <c r="R13">
        <v>1</v>
      </c>
      <c r="S13">
        <v>13</v>
      </c>
      <c r="T13">
        <v>1</v>
      </c>
      <c r="U13">
        <v>6</v>
      </c>
      <c r="V13">
        <v>11</v>
      </c>
    </row>
    <row r="14" spans="1:22" x14ac:dyDescent="0.25">
      <c r="B14">
        <v>2</v>
      </c>
      <c r="C14">
        <v>7</v>
      </c>
      <c r="D14">
        <v>12</v>
      </c>
      <c r="F14">
        <v>15</v>
      </c>
      <c r="G14">
        <v>16</v>
      </c>
      <c r="H14">
        <v>12</v>
      </c>
      <c r="J14">
        <v>2</v>
      </c>
      <c r="K14">
        <v>7</v>
      </c>
      <c r="L14">
        <v>12</v>
      </c>
      <c r="M14">
        <v>15</v>
      </c>
      <c r="N14">
        <v>16</v>
      </c>
      <c r="O14">
        <v>12</v>
      </c>
      <c r="Q14">
        <v>15</v>
      </c>
      <c r="R14">
        <v>16</v>
      </c>
      <c r="S14">
        <v>12</v>
      </c>
      <c r="T14">
        <v>2</v>
      </c>
      <c r="U14">
        <v>7</v>
      </c>
      <c r="V14">
        <v>12</v>
      </c>
    </row>
    <row r="15" spans="1:22" x14ac:dyDescent="0.25">
      <c r="B15">
        <v>3</v>
      </c>
      <c r="C15">
        <v>8</v>
      </c>
      <c r="D15">
        <v>13</v>
      </c>
      <c r="F15">
        <v>6</v>
      </c>
      <c r="G15">
        <v>19</v>
      </c>
      <c r="H15">
        <v>20</v>
      </c>
      <c r="J15">
        <v>3</v>
      </c>
      <c r="K15">
        <v>8</v>
      </c>
      <c r="L15">
        <v>13</v>
      </c>
      <c r="M15">
        <v>6</v>
      </c>
      <c r="N15">
        <v>19</v>
      </c>
      <c r="O15">
        <v>20</v>
      </c>
      <c r="Q15">
        <v>6</v>
      </c>
      <c r="R15">
        <v>19</v>
      </c>
      <c r="S15">
        <v>20</v>
      </c>
      <c r="T15">
        <v>3</v>
      </c>
      <c r="U15">
        <v>8</v>
      </c>
      <c r="V15">
        <v>13</v>
      </c>
    </row>
    <row r="16" spans="1:22" x14ac:dyDescent="0.25">
      <c r="B16">
        <v>4</v>
      </c>
      <c r="C16">
        <v>9</v>
      </c>
      <c r="D16">
        <v>14</v>
      </c>
      <c r="F16">
        <v>20</v>
      </c>
      <c r="G16">
        <v>17</v>
      </c>
      <c r="H16">
        <v>18</v>
      </c>
      <c r="J16">
        <v>4</v>
      </c>
      <c r="K16">
        <v>9</v>
      </c>
      <c r="L16">
        <v>14</v>
      </c>
      <c r="M16">
        <v>20</v>
      </c>
      <c r="N16">
        <v>17</v>
      </c>
      <c r="O16">
        <v>18</v>
      </c>
      <c r="Q16">
        <v>20</v>
      </c>
      <c r="R16">
        <v>17</v>
      </c>
      <c r="S16">
        <v>18</v>
      </c>
      <c r="T16">
        <v>4</v>
      </c>
      <c r="U16">
        <v>9</v>
      </c>
      <c r="V16">
        <v>14</v>
      </c>
    </row>
    <row r="17" spans="2:22" x14ac:dyDescent="0.25">
      <c r="B17">
        <v>5</v>
      </c>
      <c r="C17">
        <v>10</v>
      </c>
      <c r="D17">
        <v>15</v>
      </c>
      <c r="F17">
        <v>11</v>
      </c>
      <c r="G17">
        <v>14</v>
      </c>
      <c r="H17">
        <v>2</v>
      </c>
      <c r="J17">
        <v>5</v>
      </c>
      <c r="K17">
        <v>10</v>
      </c>
      <c r="L17">
        <v>15</v>
      </c>
      <c r="M17">
        <v>11</v>
      </c>
      <c r="N17">
        <v>14</v>
      </c>
      <c r="O17">
        <v>2</v>
      </c>
      <c r="Q17">
        <v>11</v>
      </c>
      <c r="R17">
        <v>14</v>
      </c>
      <c r="S17">
        <v>2</v>
      </c>
      <c r="T17">
        <v>5</v>
      </c>
      <c r="U17">
        <v>10</v>
      </c>
      <c r="V17">
        <v>15</v>
      </c>
    </row>
    <row r="19" spans="2:22" x14ac:dyDescent="0.25">
      <c r="B19" t="s">
        <v>4</v>
      </c>
    </row>
    <row r="20" spans="2:22" x14ac:dyDescent="0.25">
      <c r="B20" t="s">
        <v>39</v>
      </c>
      <c r="D20" t="s">
        <v>40</v>
      </c>
    </row>
    <row r="21" spans="2:22" x14ac:dyDescent="0.25">
      <c r="B21">
        <v>5</v>
      </c>
      <c r="D21">
        <v>1</v>
      </c>
      <c r="E21">
        <v>2</v>
      </c>
      <c r="F21">
        <v>3</v>
      </c>
      <c r="G21">
        <v>4</v>
      </c>
      <c r="I21" t="e">
        <f t="array" ref="I21:M21">MaddCols(B21,D21:G21)</f>
        <v>#VALUE!</v>
      </c>
      <c r="J21" t="e">
        <v>#VALUE!</v>
      </c>
      <c r="K21" t="e">
        <v>#VALUE!</v>
      </c>
      <c r="L21" t="e">
        <v>#VALUE!</v>
      </c>
      <c r="M21" t="e">
        <v>#VALUE!</v>
      </c>
      <c r="O21">
        <f t="array" ref="O21:S21">MaddCols(D21:G21,B21)</f>
        <v>1</v>
      </c>
      <c r="P21">
        <v>2</v>
      </c>
      <c r="Q21">
        <v>3</v>
      </c>
      <c r="R21">
        <v>4</v>
      </c>
      <c r="S21">
        <v>5</v>
      </c>
    </row>
    <row r="22" spans="2:22" x14ac:dyDescent="0.25">
      <c r="I22" t="s">
        <v>11</v>
      </c>
    </row>
    <row r="23" spans="2:22" x14ac:dyDescent="0.25">
      <c r="B23" t="s">
        <v>4</v>
      </c>
    </row>
    <row r="24" spans="2:22" x14ac:dyDescent="0.25">
      <c r="B24" t="s">
        <v>39</v>
      </c>
      <c r="F24" t="s">
        <v>40</v>
      </c>
    </row>
    <row r="25" spans="2:22" x14ac:dyDescent="0.25">
      <c r="B25">
        <v>4</v>
      </c>
      <c r="C25">
        <v>5</v>
      </c>
      <c r="D25">
        <v>6</v>
      </c>
      <c r="E25" t="s">
        <v>6</v>
      </c>
      <c r="F25">
        <v>1</v>
      </c>
      <c r="G25">
        <v>2</v>
      </c>
      <c r="H25">
        <v>3</v>
      </c>
      <c r="J25">
        <f t="array" ref="J25:O25">MaddCols(B25:D25,F25:H25)</f>
        <v>4</v>
      </c>
      <c r="K25">
        <v>5</v>
      </c>
      <c r="L25">
        <v>6</v>
      </c>
      <c r="M25">
        <v>1</v>
      </c>
      <c r="N25">
        <v>2</v>
      </c>
      <c r="O25">
        <v>3</v>
      </c>
      <c r="Q25">
        <f t="array" ref="Q25:V25">MaddCols(F25:H25,B25:D25)</f>
        <v>1</v>
      </c>
      <c r="R25">
        <v>2</v>
      </c>
      <c r="S25">
        <v>3</v>
      </c>
      <c r="T25">
        <v>4</v>
      </c>
      <c r="U25">
        <v>5</v>
      </c>
      <c r="V25">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L43"/>
  <sheetViews>
    <sheetView workbookViewId="0">
      <selection activeCell="C40" sqref="C40"/>
    </sheetView>
  </sheetViews>
  <sheetFormatPr defaultRowHeight="15" x14ac:dyDescent="0.25"/>
  <cols>
    <col min="1" max="1" width="26" bestFit="1" customWidth="1"/>
    <col min="2" max="2" width="13.7109375" bestFit="1" customWidth="1"/>
  </cols>
  <sheetData>
    <row r="2" spans="1:12" x14ac:dyDescent="0.25">
      <c r="A2" s="5" t="s">
        <v>43</v>
      </c>
      <c r="B2" t="s">
        <v>5</v>
      </c>
    </row>
    <row r="3" spans="1:12" x14ac:dyDescent="0.25">
      <c r="A3" t="s">
        <v>42</v>
      </c>
      <c r="B3" t="s">
        <v>39</v>
      </c>
    </row>
    <row r="4" spans="1:12" x14ac:dyDescent="0.25">
      <c r="B4">
        <v>1</v>
      </c>
      <c r="C4">
        <v>2</v>
      </c>
      <c r="D4">
        <v>3</v>
      </c>
    </row>
    <row r="6" spans="1:12" x14ac:dyDescent="0.25">
      <c r="B6" t="s">
        <v>44</v>
      </c>
      <c r="F6">
        <f t="array" ref="F6:H11">maddrows(B4:D4,B7:D11)</f>
        <v>1</v>
      </c>
      <c r="G6">
        <v>2</v>
      </c>
      <c r="H6">
        <v>3</v>
      </c>
      <c r="J6">
        <f t="array" ref="J6:L11">maddrows(B7:D11,B4:D4)</f>
        <v>6</v>
      </c>
      <c r="K6">
        <v>1</v>
      </c>
      <c r="L6">
        <v>13</v>
      </c>
    </row>
    <row r="7" spans="1:12" x14ac:dyDescent="0.25">
      <c r="B7">
        <v>6</v>
      </c>
      <c r="C7">
        <v>1</v>
      </c>
      <c r="D7">
        <v>13</v>
      </c>
      <c r="F7">
        <v>6</v>
      </c>
      <c r="G7">
        <v>1</v>
      </c>
      <c r="H7">
        <v>13</v>
      </c>
      <c r="J7">
        <v>15</v>
      </c>
      <c r="K7">
        <v>16</v>
      </c>
      <c r="L7">
        <v>12</v>
      </c>
    </row>
    <row r="8" spans="1:12" x14ac:dyDescent="0.25">
      <c r="B8">
        <v>15</v>
      </c>
      <c r="C8">
        <v>16</v>
      </c>
      <c r="D8">
        <v>12</v>
      </c>
      <c r="F8">
        <v>15</v>
      </c>
      <c r="G8">
        <v>16</v>
      </c>
      <c r="H8">
        <v>12</v>
      </c>
      <c r="J8">
        <v>6</v>
      </c>
      <c r="K8">
        <v>19</v>
      </c>
      <c r="L8">
        <v>20</v>
      </c>
    </row>
    <row r="9" spans="1:12" x14ac:dyDescent="0.25">
      <c r="B9">
        <v>6</v>
      </c>
      <c r="C9">
        <v>19</v>
      </c>
      <c r="D9">
        <v>20</v>
      </c>
      <c r="F9">
        <v>6</v>
      </c>
      <c r="G9">
        <v>19</v>
      </c>
      <c r="H9">
        <v>20</v>
      </c>
      <c r="J9">
        <v>20</v>
      </c>
      <c r="K9">
        <v>17</v>
      </c>
      <c r="L9">
        <v>18</v>
      </c>
    </row>
    <row r="10" spans="1:12" x14ac:dyDescent="0.25">
      <c r="B10">
        <v>20</v>
      </c>
      <c r="C10">
        <v>17</v>
      </c>
      <c r="D10">
        <v>18</v>
      </c>
      <c r="F10">
        <v>20</v>
      </c>
      <c r="G10">
        <v>17</v>
      </c>
      <c r="H10">
        <v>18</v>
      </c>
      <c r="J10">
        <v>11</v>
      </c>
      <c r="K10">
        <v>14</v>
      </c>
      <c r="L10">
        <v>2</v>
      </c>
    </row>
    <row r="11" spans="1:12" x14ac:dyDescent="0.25">
      <c r="B11">
        <v>11</v>
      </c>
      <c r="C11">
        <v>14</v>
      </c>
      <c r="D11">
        <v>2</v>
      </c>
      <c r="F11">
        <v>11</v>
      </c>
      <c r="G11">
        <v>14</v>
      </c>
      <c r="H11">
        <v>2</v>
      </c>
      <c r="J11">
        <v>1</v>
      </c>
      <c r="K11">
        <v>2</v>
      </c>
      <c r="L11">
        <v>3</v>
      </c>
    </row>
    <row r="13" spans="1:12" x14ac:dyDescent="0.25">
      <c r="B13" t="s">
        <v>5</v>
      </c>
    </row>
    <row r="14" spans="1:12" x14ac:dyDescent="0.25">
      <c r="B14" t="s">
        <v>39</v>
      </c>
    </row>
    <row r="15" spans="1:12" x14ac:dyDescent="0.25">
      <c r="B15">
        <v>1</v>
      </c>
      <c r="C15">
        <v>2</v>
      </c>
      <c r="D15">
        <v>3</v>
      </c>
    </row>
    <row r="16" spans="1:12" x14ac:dyDescent="0.25">
      <c r="B16">
        <v>4</v>
      </c>
      <c r="C16">
        <v>5</v>
      </c>
      <c r="D16">
        <v>6</v>
      </c>
      <c r="F16">
        <f t="array" ref="F16:H23">maddrows(B15:D17,B20:D24)</f>
        <v>1</v>
      </c>
      <c r="G16">
        <v>2</v>
      </c>
      <c r="H16">
        <v>3</v>
      </c>
      <c r="J16">
        <f t="array" ref="J16:L23">maddrows(B20:D24,B15:D17)</f>
        <v>6</v>
      </c>
      <c r="K16">
        <v>1</v>
      </c>
      <c r="L16">
        <v>13</v>
      </c>
    </row>
    <row r="17" spans="2:12" x14ac:dyDescent="0.25">
      <c r="B17">
        <v>7</v>
      </c>
      <c r="C17">
        <v>8</v>
      </c>
      <c r="D17">
        <v>9</v>
      </c>
      <c r="F17">
        <v>4</v>
      </c>
      <c r="G17">
        <v>5</v>
      </c>
      <c r="H17">
        <v>6</v>
      </c>
      <c r="J17">
        <v>15</v>
      </c>
      <c r="K17">
        <v>16</v>
      </c>
      <c r="L17">
        <v>12</v>
      </c>
    </row>
    <row r="18" spans="2:12" x14ac:dyDescent="0.25">
      <c r="F18">
        <v>7</v>
      </c>
      <c r="G18">
        <v>8</v>
      </c>
      <c r="H18">
        <v>9</v>
      </c>
      <c r="J18">
        <v>6</v>
      </c>
      <c r="K18">
        <v>19</v>
      </c>
      <c r="L18">
        <v>20</v>
      </c>
    </row>
    <row r="19" spans="2:12" x14ac:dyDescent="0.25">
      <c r="B19" t="s">
        <v>40</v>
      </c>
      <c r="F19">
        <v>6</v>
      </c>
      <c r="G19">
        <v>1</v>
      </c>
      <c r="H19">
        <v>13</v>
      </c>
      <c r="J19">
        <v>20</v>
      </c>
      <c r="K19">
        <v>17</v>
      </c>
      <c r="L19">
        <v>18</v>
      </c>
    </row>
    <row r="20" spans="2:12" x14ac:dyDescent="0.25">
      <c r="B20">
        <v>6</v>
      </c>
      <c r="C20">
        <v>1</v>
      </c>
      <c r="D20">
        <v>13</v>
      </c>
      <c r="F20">
        <v>15</v>
      </c>
      <c r="G20">
        <v>16</v>
      </c>
      <c r="H20">
        <v>12</v>
      </c>
      <c r="J20">
        <v>11</v>
      </c>
      <c r="K20">
        <v>14</v>
      </c>
      <c r="L20">
        <v>2</v>
      </c>
    </row>
    <row r="21" spans="2:12" x14ac:dyDescent="0.25">
      <c r="B21">
        <v>15</v>
      </c>
      <c r="C21">
        <v>16</v>
      </c>
      <c r="D21">
        <v>12</v>
      </c>
      <c r="F21">
        <v>6</v>
      </c>
      <c r="G21">
        <v>19</v>
      </c>
      <c r="H21">
        <v>20</v>
      </c>
      <c r="J21">
        <v>1</v>
      </c>
      <c r="K21">
        <v>2</v>
      </c>
      <c r="L21">
        <v>3</v>
      </c>
    </row>
    <row r="22" spans="2:12" x14ac:dyDescent="0.25">
      <c r="B22">
        <v>6</v>
      </c>
      <c r="C22">
        <v>19</v>
      </c>
      <c r="D22">
        <v>20</v>
      </c>
      <c r="F22">
        <v>20</v>
      </c>
      <c r="G22">
        <v>17</v>
      </c>
      <c r="H22">
        <v>18</v>
      </c>
      <c r="J22">
        <v>4</v>
      </c>
      <c r="K22">
        <v>5</v>
      </c>
      <c r="L22">
        <v>6</v>
      </c>
    </row>
    <row r="23" spans="2:12" x14ac:dyDescent="0.25">
      <c r="B23">
        <v>20</v>
      </c>
      <c r="C23">
        <v>17</v>
      </c>
      <c r="D23">
        <v>18</v>
      </c>
      <c r="F23">
        <v>11</v>
      </c>
      <c r="G23">
        <v>14</v>
      </c>
      <c r="H23">
        <v>2</v>
      </c>
      <c r="J23">
        <v>7</v>
      </c>
      <c r="K23">
        <v>8</v>
      </c>
      <c r="L23">
        <v>9</v>
      </c>
    </row>
    <row r="24" spans="2:12" x14ac:dyDescent="0.25">
      <c r="B24">
        <v>11</v>
      </c>
      <c r="C24">
        <v>14</v>
      </c>
      <c r="D24">
        <v>2</v>
      </c>
    </row>
    <row r="26" spans="2:12" x14ac:dyDescent="0.25">
      <c r="B26" t="s">
        <v>5</v>
      </c>
      <c r="F26" t="s">
        <v>12</v>
      </c>
    </row>
    <row r="27" spans="2:12" x14ac:dyDescent="0.25">
      <c r="B27" t="s">
        <v>39</v>
      </c>
      <c r="D27" t="s">
        <v>40</v>
      </c>
      <c r="F27">
        <f t="array" ref="F27:F32">maddrows(B28,D28:D32)</f>
        <v>0</v>
      </c>
      <c r="I27">
        <f t="array" ref="I27:I32">maddrows(D28:D32,B28)</f>
        <v>1</v>
      </c>
    </row>
    <row r="28" spans="2:12" x14ac:dyDescent="0.25">
      <c r="B28">
        <v>6</v>
      </c>
      <c r="D28">
        <v>1</v>
      </c>
      <c r="F28">
        <v>0</v>
      </c>
      <c r="I28">
        <v>2</v>
      </c>
    </row>
    <row r="29" spans="2:12" x14ac:dyDescent="0.25">
      <c r="D29">
        <v>2</v>
      </c>
      <c r="F29">
        <v>0</v>
      </c>
      <c r="I29">
        <v>3</v>
      </c>
    </row>
    <row r="30" spans="2:12" x14ac:dyDescent="0.25">
      <c r="D30">
        <v>3</v>
      </c>
      <c r="F30">
        <v>0</v>
      </c>
      <c r="I30">
        <v>4</v>
      </c>
    </row>
    <row r="31" spans="2:12" x14ac:dyDescent="0.25">
      <c r="D31">
        <v>4</v>
      </c>
      <c r="F31">
        <v>0</v>
      </c>
      <c r="I31">
        <v>5</v>
      </c>
    </row>
    <row r="32" spans="2:12" x14ac:dyDescent="0.25">
      <c r="D32">
        <v>5</v>
      </c>
      <c r="F32">
        <v>0</v>
      </c>
      <c r="I32">
        <v>6</v>
      </c>
    </row>
    <row r="35" spans="2:8" x14ac:dyDescent="0.25">
      <c r="B35" t="s">
        <v>5</v>
      </c>
    </row>
    <row r="36" spans="2:8" x14ac:dyDescent="0.25">
      <c r="B36" t="s">
        <v>39</v>
      </c>
      <c r="D36" t="s">
        <v>40</v>
      </c>
      <c r="F36">
        <f t="array" ref="F36:F43">maddrows(B37:B39,D37:D41)</f>
        <v>6</v>
      </c>
      <c r="H36">
        <f t="array" ref="H36:H43">maddrows(D37:D41,B37:B39)</f>
        <v>1</v>
      </c>
    </row>
    <row r="37" spans="2:8" x14ac:dyDescent="0.25">
      <c r="B37">
        <v>6</v>
      </c>
      <c r="D37">
        <v>1</v>
      </c>
      <c r="F37">
        <v>7</v>
      </c>
      <c r="H37">
        <v>2</v>
      </c>
    </row>
    <row r="38" spans="2:8" x14ac:dyDescent="0.25">
      <c r="B38">
        <v>7</v>
      </c>
      <c r="D38">
        <v>2</v>
      </c>
      <c r="F38">
        <v>8</v>
      </c>
      <c r="H38">
        <v>3</v>
      </c>
    </row>
    <row r="39" spans="2:8" x14ac:dyDescent="0.25">
      <c r="B39">
        <v>8</v>
      </c>
      <c r="D39">
        <v>3</v>
      </c>
      <c r="F39">
        <v>1</v>
      </c>
      <c r="H39">
        <v>4</v>
      </c>
    </row>
    <row r="40" spans="2:8" x14ac:dyDescent="0.25">
      <c r="D40">
        <v>4</v>
      </c>
      <c r="F40">
        <v>2</v>
      </c>
      <c r="H40">
        <v>5</v>
      </c>
    </row>
    <row r="41" spans="2:8" x14ac:dyDescent="0.25">
      <c r="D41">
        <v>5</v>
      </c>
      <c r="F41">
        <v>3</v>
      </c>
      <c r="H41">
        <v>6</v>
      </c>
    </row>
    <row r="42" spans="2:8" x14ac:dyDescent="0.25">
      <c r="F42">
        <v>4</v>
      </c>
      <c r="H42">
        <v>7</v>
      </c>
    </row>
    <row r="43" spans="2:8" x14ac:dyDescent="0.25">
      <c r="F43">
        <v>5</v>
      </c>
      <c r="H43">
        <v>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P27"/>
  <sheetViews>
    <sheetView workbookViewId="0">
      <selection activeCell="A8" sqref="A8"/>
    </sheetView>
  </sheetViews>
  <sheetFormatPr defaultRowHeight="15" x14ac:dyDescent="0.25"/>
  <cols>
    <col min="1" max="1" width="23" bestFit="1" customWidth="1"/>
  </cols>
  <sheetData>
    <row r="2" spans="1:14" x14ac:dyDescent="0.25">
      <c r="A2" s="5" t="s">
        <v>45</v>
      </c>
      <c r="B2" t="s">
        <v>7</v>
      </c>
    </row>
    <row r="3" spans="1:14" ht="45" x14ac:dyDescent="0.25">
      <c r="A3" s="6" t="s">
        <v>46</v>
      </c>
    </row>
    <row r="4" spans="1:14" x14ac:dyDescent="0.25">
      <c r="A4" t="s">
        <v>54</v>
      </c>
      <c r="B4" t="s">
        <v>9</v>
      </c>
    </row>
    <row r="5" spans="1:14" x14ac:dyDescent="0.25">
      <c r="B5" t="s">
        <v>39</v>
      </c>
      <c r="F5" t="s">
        <v>40</v>
      </c>
      <c r="H5" t="s">
        <v>8</v>
      </c>
      <c r="L5" t="s">
        <v>47</v>
      </c>
    </row>
    <row r="6" spans="1:14" x14ac:dyDescent="0.25">
      <c r="B6">
        <v>1</v>
      </c>
      <c r="C6">
        <v>2</v>
      </c>
      <c r="D6">
        <v>3</v>
      </c>
      <c r="F6">
        <v>5</v>
      </c>
      <c r="H6">
        <f t="array" ref="H6:J8">matadd(B6:D8,F6)</f>
        <v>6</v>
      </c>
      <c r="I6">
        <v>7</v>
      </c>
      <c r="J6">
        <v>8</v>
      </c>
      <c r="L6">
        <f t="array" ref="L6:N8">matadd(F6,B6:D8)</f>
        <v>0</v>
      </c>
      <c r="M6">
        <v>0</v>
      </c>
      <c r="N6">
        <v>0</v>
      </c>
    </row>
    <row r="7" spans="1:14" x14ac:dyDescent="0.25">
      <c r="B7">
        <v>4</v>
      </c>
      <c r="C7">
        <v>5</v>
      </c>
      <c r="D7">
        <v>6</v>
      </c>
      <c r="H7">
        <v>9</v>
      </c>
      <c r="I7">
        <v>10</v>
      </c>
      <c r="J7">
        <v>11</v>
      </c>
      <c r="L7">
        <v>0</v>
      </c>
      <c r="M7">
        <v>0</v>
      </c>
      <c r="N7">
        <v>0</v>
      </c>
    </row>
    <row r="8" spans="1:14" x14ac:dyDescent="0.25">
      <c r="B8">
        <v>7</v>
      </c>
      <c r="C8">
        <v>8</v>
      </c>
      <c r="D8">
        <v>9</v>
      </c>
      <c r="H8">
        <v>12</v>
      </c>
      <c r="I8">
        <v>13</v>
      </c>
      <c r="J8">
        <v>14</v>
      </c>
      <c r="L8">
        <v>0</v>
      </c>
      <c r="M8">
        <v>0</v>
      </c>
      <c r="N8">
        <v>0</v>
      </c>
    </row>
    <row r="10" spans="1:14" x14ac:dyDescent="0.25">
      <c r="B10" t="s">
        <v>10</v>
      </c>
    </row>
    <row r="11" spans="1:14" x14ac:dyDescent="0.25">
      <c r="B11" t="s">
        <v>39</v>
      </c>
      <c r="D11" t="s">
        <v>44</v>
      </c>
    </row>
    <row r="12" spans="1:14" x14ac:dyDescent="0.25">
      <c r="B12">
        <v>1</v>
      </c>
      <c r="D12">
        <v>5</v>
      </c>
      <c r="F12">
        <f t="array" ref="F12:F15">matadd(B12:B15,D12:D15)</f>
        <v>6</v>
      </c>
      <c r="H12">
        <f t="array" ref="H12:H15">matadd(D12:D15,B12:B15)</f>
        <v>6</v>
      </c>
    </row>
    <row r="13" spans="1:14" x14ac:dyDescent="0.25">
      <c r="B13">
        <v>2</v>
      </c>
      <c r="D13">
        <v>6</v>
      </c>
      <c r="F13">
        <v>8</v>
      </c>
      <c r="H13">
        <v>8</v>
      </c>
    </row>
    <row r="14" spans="1:14" x14ac:dyDescent="0.25">
      <c r="B14">
        <v>3</v>
      </c>
      <c r="D14">
        <v>7</v>
      </c>
      <c r="F14">
        <v>10</v>
      </c>
      <c r="H14">
        <v>10</v>
      </c>
    </row>
    <row r="15" spans="1:14" x14ac:dyDescent="0.25">
      <c r="B15">
        <v>4</v>
      </c>
      <c r="D15">
        <v>8</v>
      </c>
      <c r="F15">
        <v>12</v>
      </c>
      <c r="H15">
        <v>12</v>
      </c>
    </row>
    <row r="17" spans="2:16" x14ac:dyDescent="0.25">
      <c r="B17" t="s">
        <v>13</v>
      </c>
    </row>
    <row r="18" spans="2:16" x14ac:dyDescent="0.25">
      <c r="B18" t="s">
        <v>39</v>
      </c>
      <c r="F18" t="s">
        <v>40</v>
      </c>
      <c r="L18" t="s">
        <v>48</v>
      </c>
    </row>
    <row r="19" spans="2:16" x14ac:dyDescent="0.25">
      <c r="B19">
        <v>1</v>
      </c>
      <c r="C19">
        <v>2</v>
      </c>
      <c r="D19">
        <v>3</v>
      </c>
      <c r="F19">
        <v>1</v>
      </c>
      <c r="H19">
        <f t="array" ref="H19:J21">matadd(B19:D21,F19:F21)</f>
        <v>2</v>
      </c>
      <c r="I19">
        <v>3</v>
      </c>
      <c r="J19">
        <v>4</v>
      </c>
      <c r="L19">
        <f t="array" ref="L19:N21">matadd(F19:F21,B19:D21)</f>
        <v>0</v>
      </c>
      <c r="M19">
        <v>0</v>
      </c>
      <c r="N19">
        <v>0</v>
      </c>
    </row>
    <row r="20" spans="2:16" x14ac:dyDescent="0.25">
      <c r="B20">
        <v>4</v>
      </c>
      <c r="C20">
        <v>5</v>
      </c>
      <c r="D20">
        <v>6</v>
      </c>
      <c r="F20">
        <v>1</v>
      </c>
      <c r="H20">
        <v>5</v>
      </c>
      <c r="I20">
        <v>6</v>
      </c>
      <c r="J20">
        <v>7</v>
      </c>
      <c r="L20">
        <v>0</v>
      </c>
      <c r="M20">
        <v>0</v>
      </c>
      <c r="N20">
        <v>0</v>
      </c>
    </row>
    <row r="21" spans="2:16" x14ac:dyDescent="0.25">
      <c r="B21">
        <v>7</v>
      </c>
      <c r="C21">
        <v>8</v>
      </c>
      <c r="D21">
        <v>9</v>
      </c>
      <c r="F21">
        <v>1</v>
      </c>
      <c r="H21">
        <v>8</v>
      </c>
      <c r="I21">
        <v>9</v>
      </c>
      <c r="J21">
        <v>10</v>
      </c>
      <c r="L21">
        <v>0</v>
      </c>
      <c r="M21">
        <v>0</v>
      </c>
      <c r="N21">
        <v>0</v>
      </c>
    </row>
    <row r="23" spans="2:16" x14ac:dyDescent="0.25">
      <c r="B23" t="s">
        <v>14</v>
      </c>
    </row>
    <row r="24" spans="2:16" x14ac:dyDescent="0.25">
      <c r="B24" t="s">
        <v>39</v>
      </c>
      <c r="F24" t="s">
        <v>40</v>
      </c>
    </row>
    <row r="25" spans="2:16" x14ac:dyDescent="0.25">
      <c r="B25">
        <v>1</v>
      </c>
      <c r="C25">
        <v>2</v>
      </c>
      <c r="D25">
        <v>3</v>
      </c>
      <c r="F25">
        <v>9</v>
      </c>
      <c r="G25">
        <v>8</v>
      </c>
      <c r="H25">
        <v>7</v>
      </c>
      <c r="J25">
        <f t="array" ref="J25:L27">matadd(B25:D27,F25:H27)</f>
        <v>10</v>
      </c>
      <c r="K25">
        <v>10</v>
      </c>
      <c r="L25">
        <v>10</v>
      </c>
      <c r="N25">
        <f t="array" ref="N25:P27">matadd(F25:H27,B25:D27)</f>
        <v>10</v>
      </c>
      <c r="O25">
        <v>10</v>
      </c>
      <c r="P25">
        <v>10</v>
      </c>
    </row>
    <row r="26" spans="2:16" x14ac:dyDescent="0.25">
      <c r="B26">
        <v>4</v>
      </c>
      <c r="C26">
        <v>5</v>
      </c>
      <c r="D26">
        <v>6</v>
      </c>
      <c r="F26">
        <v>6</v>
      </c>
      <c r="G26">
        <v>5</v>
      </c>
      <c r="H26">
        <v>4</v>
      </c>
      <c r="J26">
        <v>10</v>
      </c>
      <c r="K26">
        <v>10</v>
      </c>
      <c r="L26">
        <v>10</v>
      </c>
      <c r="N26">
        <v>10</v>
      </c>
      <c r="O26">
        <v>10</v>
      </c>
      <c r="P26">
        <v>10</v>
      </c>
    </row>
    <row r="27" spans="2:16" x14ac:dyDescent="0.25">
      <c r="B27">
        <v>7</v>
      </c>
      <c r="C27">
        <v>8</v>
      </c>
      <c r="D27">
        <v>9</v>
      </c>
      <c r="F27">
        <v>3</v>
      </c>
      <c r="G27">
        <v>2</v>
      </c>
      <c r="H27">
        <v>1</v>
      </c>
      <c r="J27">
        <v>10</v>
      </c>
      <c r="K27">
        <v>10</v>
      </c>
      <c r="L27">
        <v>10</v>
      </c>
      <c r="N27">
        <v>10</v>
      </c>
      <c r="O27">
        <v>10</v>
      </c>
      <c r="P27">
        <v>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P27"/>
  <sheetViews>
    <sheetView workbookViewId="0">
      <selection activeCell="A2" sqref="A2:A4"/>
    </sheetView>
  </sheetViews>
  <sheetFormatPr defaultRowHeight="15" x14ac:dyDescent="0.25"/>
  <cols>
    <col min="1" max="1" width="27" bestFit="1" customWidth="1"/>
  </cols>
  <sheetData>
    <row r="2" spans="1:14" x14ac:dyDescent="0.25">
      <c r="A2" s="5" t="s">
        <v>49</v>
      </c>
      <c r="B2" t="s">
        <v>15</v>
      </c>
    </row>
    <row r="3" spans="1:14" ht="45" x14ac:dyDescent="0.25">
      <c r="A3" s="6" t="s">
        <v>50</v>
      </c>
    </row>
    <row r="4" spans="1:14" x14ac:dyDescent="0.25">
      <c r="A4" t="s">
        <v>53</v>
      </c>
      <c r="B4" t="s">
        <v>9</v>
      </c>
    </row>
    <row r="5" spans="1:14" x14ac:dyDescent="0.25">
      <c r="B5" t="s">
        <v>39</v>
      </c>
      <c r="F5" t="s">
        <v>40</v>
      </c>
      <c r="H5" t="s">
        <v>16</v>
      </c>
      <c r="L5" t="s">
        <v>51</v>
      </c>
    </row>
    <row r="6" spans="1:14" x14ac:dyDescent="0.25">
      <c r="B6">
        <v>1</v>
      </c>
      <c r="C6">
        <v>2</v>
      </c>
      <c r="D6">
        <v>3</v>
      </c>
      <c r="F6">
        <v>5</v>
      </c>
      <c r="H6">
        <f t="array" ref="H6:J8">matsubtract(B6:D8,F6)</f>
        <v>-4</v>
      </c>
      <c r="I6">
        <v>-3</v>
      </c>
      <c r="J6">
        <v>-2</v>
      </c>
      <c r="L6">
        <f t="array" ref="L6:N8">matsubtract(F6,B6:D8)</f>
        <v>0</v>
      </c>
      <c r="M6">
        <v>0</v>
      </c>
      <c r="N6">
        <v>0</v>
      </c>
    </row>
    <row r="7" spans="1:14" x14ac:dyDescent="0.25">
      <c r="B7">
        <v>4</v>
      </c>
      <c r="C7">
        <v>5</v>
      </c>
      <c r="D7">
        <v>6</v>
      </c>
      <c r="H7">
        <v>-1</v>
      </c>
      <c r="I7">
        <v>0</v>
      </c>
      <c r="J7">
        <v>1</v>
      </c>
      <c r="L7">
        <v>0</v>
      </c>
      <c r="M7">
        <v>0</v>
      </c>
      <c r="N7">
        <v>0</v>
      </c>
    </row>
    <row r="8" spans="1:14" x14ac:dyDescent="0.25">
      <c r="B8">
        <v>7</v>
      </c>
      <c r="C8">
        <v>8</v>
      </c>
      <c r="D8">
        <v>9</v>
      </c>
      <c r="H8">
        <v>2</v>
      </c>
      <c r="I8">
        <v>3</v>
      </c>
      <c r="J8">
        <v>4</v>
      </c>
      <c r="L8">
        <v>0</v>
      </c>
      <c r="M8">
        <v>0</v>
      </c>
      <c r="N8">
        <v>0</v>
      </c>
    </row>
    <row r="10" spans="1:14" x14ac:dyDescent="0.25">
      <c r="B10" t="s">
        <v>10</v>
      </c>
    </row>
    <row r="11" spans="1:14" x14ac:dyDescent="0.25">
      <c r="B11" t="s">
        <v>39</v>
      </c>
      <c r="D11" t="s">
        <v>40</v>
      </c>
    </row>
    <row r="12" spans="1:14" x14ac:dyDescent="0.25">
      <c r="B12">
        <v>1</v>
      </c>
      <c r="D12">
        <v>5</v>
      </c>
      <c r="F12">
        <f t="array" ref="F12:F15">matsubtract(B12:B15,D12:D15)</f>
        <v>-4</v>
      </c>
      <c r="H12">
        <f t="array" ref="H12:H15">matsubtract(D12:D15,B12:B15)</f>
        <v>4</v>
      </c>
    </row>
    <row r="13" spans="1:14" x14ac:dyDescent="0.25">
      <c r="B13">
        <v>2</v>
      </c>
      <c r="D13">
        <v>6</v>
      </c>
      <c r="F13">
        <v>-4</v>
      </c>
      <c r="H13">
        <v>4</v>
      </c>
    </row>
    <row r="14" spans="1:14" x14ac:dyDescent="0.25">
      <c r="B14">
        <v>3</v>
      </c>
      <c r="D14">
        <v>7</v>
      </c>
      <c r="F14">
        <v>-4</v>
      </c>
      <c r="H14">
        <v>4</v>
      </c>
    </row>
    <row r="15" spans="1:14" x14ac:dyDescent="0.25">
      <c r="B15">
        <v>4</v>
      </c>
      <c r="D15">
        <v>8</v>
      </c>
      <c r="F15">
        <v>-4</v>
      </c>
      <c r="H15">
        <v>4</v>
      </c>
    </row>
    <row r="17" spans="2:16" x14ac:dyDescent="0.25">
      <c r="B17" t="s">
        <v>13</v>
      </c>
    </row>
    <row r="18" spans="2:16" x14ac:dyDescent="0.25">
      <c r="B18" t="s">
        <v>39</v>
      </c>
      <c r="F18" t="s">
        <v>40</v>
      </c>
      <c r="L18" t="s">
        <v>52</v>
      </c>
    </row>
    <row r="19" spans="2:16" x14ac:dyDescent="0.25">
      <c r="B19">
        <v>1</v>
      </c>
      <c r="C19">
        <v>2</v>
      </c>
      <c r="D19">
        <v>3</v>
      </c>
      <c r="F19">
        <v>1</v>
      </c>
      <c r="H19">
        <f t="array" ref="H19:J21">matsubtract(B19:D21,F19:F21)</f>
        <v>0</v>
      </c>
      <c r="I19">
        <v>1</v>
      </c>
      <c r="J19">
        <v>2</v>
      </c>
      <c r="L19">
        <f t="array" ref="L19:N21">matsubtract(F19:F21,B19:D21)</f>
        <v>0</v>
      </c>
      <c r="M19">
        <v>0</v>
      </c>
      <c r="N19">
        <v>0</v>
      </c>
    </row>
    <row r="20" spans="2:16" x14ac:dyDescent="0.25">
      <c r="B20">
        <v>4</v>
      </c>
      <c r="C20">
        <v>5</v>
      </c>
      <c r="D20">
        <v>6</v>
      </c>
      <c r="F20">
        <v>1</v>
      </c>
      <c r="H20">
        <v>3</v>
      </c>
      <c r="I20">
        <v>4</v>
      </c>
      <c r="J20">
        <v>5</v>
      </c>
      <c r="L20">
        <v>0</v>
      </c>
      <c r="M20">
        <v>0</v>
      </c>
      <c r="N20">
        <v>0</v>
      </c>
    </row>
    <row r="21" spans="2:16" x14ac:dyDescent="0.25">
      <c r="B21">
        <v>7</v>
      </c>
      <c r="C21">
        <v>8</v>
      </c>
      <c r="D21">
        <v>9</v>
      </c>
      <c r="F21">
        <v>1</v>
      </c>
      <c r="H21">
        <v>6</v>
      </c>
      <c r="I21">
        <v>7</v>
      </c>
      <c r="J21">
        <v>8</v>
      </c>
      <c r="L21">
        <v>0</v>
      </c>
      <c r="M21">
        <v>0</v>
      </c>
      <c r="N21">
        <v>0</v>
      </c>
    </row>
    <row r="23" spans="2:16" x14ac:dyDescent="0.25">
      <c r="B23" t="s">
        <v>14</v>
      </c>
    </row>
    <row r="24" spans="2:16" x14ac:dyDescent="0.25">
      <c r="B24" t="s">
        <v>39</v>
      </c>
      <c r="F24" t="s">
        <v>40</v>
      </c>
    </row>
    <row r="25" spans="2:16" x14ac:dyDescent="0.25">
      <c r="B25">
        <v>1</v>
      </c>
      <c r="C25">
        <v>2</v>
      </c>
      <c r="D25">
        <v>3</v>
      </c>
      <c r="F25">
        <v>9</v>
      </c>
      <c r="G25">
        <v>8</v>
      </c>
      <c r="H25">
        <v>7</v>
      </c>
      <c r="J25">
        <f t="array" ref="J25:L27">matsubtract(B25:D27,F25:H27)</f>
        <v>-8</v>
      </c>
      <c r="K25">
        <v>-6</v>
      </c>
      <c r="L25">
        <v>-4</v>
      </c>
      <c r="N25">
        <f t="array" ref="N25:P27">matsubtract(F25:H27,B25:D27)</f>
        <v>8</v>
      </c>
      <c r="O25">
        <v>6</v>
      </c>
      <c r="P25">
        <v>4</v>
      </c>
    </row>
    <row r="26" spans="2:16" x14ac:dyDescent="0.25">
      <c r="B26">
        <v>4</v>
      </c>
      <c r="C26">
        <v>5</v>
      </c>
      <c r="D26">
        <v>6</v>
      </c>
      <c r="F26">
        <v>6</v>
      </c>
      <c r="G26">
        <v>5</v>
      </c>
      <c r="H26">
        <v>4</v>
      </c>
      <c r="J26">
        <v>-2</v>
      </c>
      <c r="K26">
        <v>0</v>
      </c>
      <c r="L26">
        <v>2</v>
      </c>
      <c r="N26">
        <v>2</v>
      </c>
      <c r="O26">
        <v>0</v>
      </c>
      <c r="P26">
        <v>-2</v>
      </c>
    </row>
    <row r="27" spans="2:16" x14ac:dyDescent="0.25">
      <c r="B27">
        <v>7</v>
      </c>
      <c r="C27">
        <v>8</v>
      </c>
      <c r="D27">
        <v>9</v>
      </c>
      <c r="F27">
        <v>3</v>
      </c>
      <c r="G27">
        <v>2</v>
      </c>
      <c r="H27">
        <v>1</v>
      </c>
      <c r="J27">
        <v>4</v>
      </c>
      <c r="K27">
        <v>6</v>
      </c>
      <c r="L27">
        <v>8</v>
      </c>
      <c r="N27">
        <v>-4</v>
      </c>
      <c r="O27">
        <v>-6</v>
      </c>
      <c r="P27">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S27"/>
  <sheetViews>
    <sheetView workbookViewId="0">
      <selection activeCell="J23" sqref="J23"/>
    </sheetView>
  </sheetViews>
  <sheetFormatPr defaultRowHeight="15" x14ac:dyDescent="0.25"/>
  <cols>
    <col min="1" max="1" width="27" bestFit="1" customWidth="1"/>
  </cols>
  <sheetData>
    <row r="2" spans="1:19" x14ac:dyDescent="0.25">
      <c r="A2" s="5" t="s">
        <v>55</v>
      </c>
      <c r="B2" t="s">
        <v>17</v>
      </c>
    </row>
    <row r="3" spans="1:19" ht="45" x14ac:dyDescent="0.25">
      <c r="A3" s="6" t="s">
        <v>56</v>
      </c>
    </row>
    <row r="4" spans="1:19" x14ac:dyDescent="0.25">
      <c r="A4" t="s">
        <v>57</v>
      </c>
      <c r="B4" t="s">
        <v>9</v>
      </c>
    </row>
    <row r="5" spans="1:19" x14ac:dyDescent="0.25">
      <c r="B5" t="s">
        <v>39</v>
      </c>
      <c r="F5" t="s">
        <v>40</v>
      </c>
      <c r="H5" t="s">
        <v>18</v>
      </c>
      <c r="L5" t="s">
        <v>58</v>
      </c>
    </row>
    <row r="6" spans="1:19" x14ac:dyDescent="0.25">
      <c r="B6">
        <v>1</v>
      </c>
      <c r="C6">
        <v>2</v>
      </c>
      <c r="D6">
        <v>3</v>
      </c>
      <c r="F6">
        <v>5</v>
      </c>
      <c r="H6">
        <f t="array" ref="H6:J8">matdiv(B6:D8,F6)</f>
        <v>0.2</v>
      </c>
      <c r="I6">
        <v>0.4</v>
      </c>
      <c r="J6">
        <v>0.6</v>
      </c>
      <c r="L6">
        <f t="array" ref="L6:N8">matdiv(F6,B6:D8)</f>
        <v>0</v>
      </c>
      <c r="M6">
        <v>0</v>
      </c>
      <c r="N6">
        <v>0</v>
      </c>
    </row>
    <row r="7" spans="1:19" x14ac:dyDescent="0.25">
      <c r="B7">
        <v>4</v>
      </c>
      <c r="C7">
        <v>5</v>
      </c>
      <c r="D7">
        <v>6</v>
      </c>
      <c r="H7">
        <v>0.8</v>
      </c>
      <c r="I7">
        <v>1</v>
      </c>
      <c r="J7">
        <v>1.2</v>
      </c>
      <c r="L7">
        <v>0</v>
      </c>
      <c r="M7">
        <v>0</v>
      </c>
      <c r="N7">
        <v>0</v>
      </c>
    </row>
    <row r="8" spans="1:19" x14ac:dyDescent="0.25">
      <c r="B8">
        <v>7</v>
      </c>
      <c r="C8">
        <v>8</v>
      </c>
      <c r="D8">
        <v>9</v>
      </c>
      <c r="H8">
        <v>1.4</v>
      </c>
      <c r="I8">
        <v>1.6</v>
      </c>
      <c r="J8">
        <v>1.8</v>
      </c>
      <c r="L8">
        <v>0</v>
      </c>
      <c r="M8">
        <v>0</v>
      </c>
      <c r="N8">
        <v>0</v>
      </c>
    </row>
    <row r="10" spans="1:19" x14ac:dyDescent="0.25">
      <c r="B10" t="s">
        <v>10</v>
      </c>
    </row>
    <row r="11" spans="1:19" x14ac:dyDescent="0.25">
      <c r="B11" t="s">
        <v>59</v>
      </c>
      <c r="M11" t="s">
        <v>39</v>
      </c>
      <c r="O11" t="s">
        <v>44</v>
      </c>
    </row>
    <row r="12" spans="1:19" x14ac:dyDescent="0.25">
      <c r="B12">
        <v>1</v>
      </c>
      <c r="C12">
        <v>2</v>
      </c>
      <c r="D12">
        <v>3</v>
      </c>
      <c r="E12">
        <v>4</v>
      </c>
      <c r="H12">
        <f t="array" ref="H12:K12">matdiv(B12:E12,B14:E14)</f>
        <v>0.5</v>
      </c>
      <c r="I12">
        <v>1</v>
      </c>
      <c r="J12">
        <v>1.5</v>
      </c>
      <c r="K12">
        <v>2</v>
      </c>
      <c r="M12">
        <v>1</v>
      </c>
      <c r="O12">
        <v>2</v>
      </c>
      <c r="Q12">
        <f t="array" ref="Q12:Q15">matdiv(M12:M15,O12:O15)</f>
        <v>0.5</v>
      </c>
      <c r="S12">
        <f t="array" ref="S12:S15">matdiv(O12:O15,M12:M15)</f>
        <v>2</v>
      </c>
    </row>
    <row r="13" spans="1:19" x14ac:dyDescent="0.25">
      <c r="B13" t="s">
        <v>40</v>
      </c>
      <c r="M13">
        <v>2</v>
      </c>
      <c r="O13">
        <v>2</v>
      </c>
      <c r="Q13">
        <v>1</v>
      </c>
      <c r="S13">
        <v>1</v>
      </c>
    </row>
    <row r="14" spans="1:19" x14ac:dyDescent="0.25">
      <c r="B14">
        <v>2</v>
      </c>
      <c r="C14">
        <v>2</v>
      </c>
      <c r="D14">
        <v>2</v>
      </c>
      <c r="E14">
        <v>2</v>
      </c>
      <c r="H14">
        <f t="array" ref="H14:K14">matdiv(B14:E14,B12:E12)</f>
        <v>2</v>
      </c>
      <c r="I14">
        <v>1</v>
      </c>
      <c r="J14">
        <v>0.66666666666666663</v>
      </c>
      <c r="K14">
        <v>0.5</v>
      </c>
      <c r="M14">
        <v>3</v>
      </c>
      <c r="O14">
        <v>2</v>
      </c>
      <c r="Q14">
        <v>1.5</v>
      </c>
      <c r="S14">
        <v>0.66666666666666663</v>
      </c>
    </row>
    <row r="15" spans="1:19" x14ac:dyDescent="0.25">
      <c r="M15">
        <v>4</v>
      </c>
      <c r="O15">
        <v>2</v>
      </c>
      <c r="Q15">
        <v>2</v>
      </c>
      <c r="S15">
        <v>0.5</v>
      </c>
    </row>
    <row r="17" spans="2:19" x14ac:dyDescent="0.25">
      <c r="B17" t="s">
        <v>13</v>
      </c>
    </row>
    <row r="18" spans="2:19" x14ac:dyDescent="0.25">
      <c r="B18" t="s">
        <v>39</v>
      </c>
      <c r="F18" t="s">
        <v>40</v>
      </c>
      <c r="M18" t="s">
        <v>44</v>
      </c>
    </row>
    <row r="19" spans="2:19" x14ac:dyDescent="0.25">
      <c r="B19">
        <v>1</v>
      </c>
      <c r="C19">
        <v>2</v>
      </c>
      <c r="D19">
        <v>3</v>
      </c>
      <c r="F19">
        <v>2</v>
      </c>
      <c r="I19">
        <f t="array" ref="I19:K21">matdiv(B19:D21,F19:F21)</f>
        <v>0.5</v>
      </c>
      <c r="J19">
        <v>1</v>
      </c>
      <c r="K19">
        <v>1.5</v>
      </c>
      <c r="M19">
        <v>2</v>
      </c>
      <c r="N19">
        <v>3</v>
      </c>
      <c r="O19">
        <v>4</v>
      </c>
      <c r="Q19">
        <f t="array" ref="Q19:S21">matdiv(B19:D21,M19:O19)</f>
        <v>0.5</v>
      </c>
      <c r="R19">
        <v>0.66666666666666663</v>
      </c>
      <c r="S19">
        <v>0.75</v>
      </c>
    </row>
    <row r="20" spans="2:19" x14ac:dyDescent="0.25">
      <c r="B20">
        <v>4</v>
      </c>
      <c r="C20">
        <v>5</v>
      </c>
      <c r="D20">
        <v>6</v>
      </c>
      <c r="F20">
        <v>3</v>
      </c>
      <c r="I20">
        <v>1.3333333333333333</v>
      </c>
      <c r="J20">
        <v>1.6666666666666667</v>
      </c>
      <c r="K20">
        <v>2</v>
      </c>
      <c r="Q20">
        <v>2</v>
      </c>
      <c r="R20">
        <v>1.6666666666666667</v>
      </c>
      <c r="S20">
        <v>1.5</v>
      </c>
    </row>
    <row r="21" spans="2:19" x14ac:dyDescent="0.25">
      <c r="B21">
        <v>7</v>
      </c>
      <c r="C21">
        <v>8</v>
      </c>
      <c r="D21">
        <v>9</v>
      </c>
      <c r="F21">
        <v>4</v>
      </c>
      <c r="I21">
        <v>1.75</v>
      </c>
      <c r="J21">
        <v>2</v>
      </c>
      <c r="K21">
        <v>2.25</v>
      </c>
      <c r="Q21">
        <v>3.5</v>
      </c>
      <c r="R21">
        <v>2.6666666666666665</v>
      </c>
      <c r="S21">
        <v>2.25</v>
      </c>
    </row>
    <row r="23" spans="2:19" ht="33.75" customHeight="1" x14ac:dyDescent="0.25">
      <c r="B23" s="2" t="s">
        <v>14</v>
      </c>
    </row>
    <row r="24" spans="2:19" x14ac:dyDescent="0.25">
      <c r="B24" t="s">
        <v>39</v>
      </c>
      <c r="F24" t="s">
        <v>40</v>
      </c>
    </row>
    <row r="25" spans="2:19" x14ac:dyDescent="0.25">
      <c r="B25">
        <v>1</v>
      </c>
      <c r="C25">
        <v>2</v>
      </c>
      <c r="D25">
        <v>3</v>
      </c>
      <c r="F25">
        <v>9</v>
      </c>
      <c r="G25">
        <v>8</v>
      </c>
      <c r="H25">
        <v>7</v>
      </c>
      <c r="J25">
        <f t="array" ref="J25:L27">matdiv(B25:D27,F25:H27)</f>
        <v>0.1111111111111111</v>
      </c>
      <c r="K25">
        <v>0.25</v>
      </c>
      <c r="L25">
        <v>0.42857142857142855</v>
      </c>
      <c r="N25">
        <f t="array" ref="N25:P27">matdiv(F25:H27,B25:D27)</f>
        <v>9</v>
      </c>
      <c r="O25">
        <v>4</v>
      </c>
      <c r="P25">
        <v>2.3333333333333335</v>
      </c>
    </row>
    <row r="26" spans="2:19" x14ac:dyDescent="0.25">
      <c r="B26">
        <v>4</v>
      </c>
      <c r="C26">
        <v>5</v>
      </c>
      <c r="D26">
        <v>6</v>
      </c>
      <c r="F26">
        <v>6</v>
      </c>
      <c r="G26">
        <v>5</v>
      </c>
      <c r="H26">
        <v>4</v>
      </c>
      <c r="J26">
        <v>0.66666666666666663</v>
      </c>
      <c r="K26">
        <v>1</v>
      </c>
      <c r="L26">
        <v>1.5</v>
      </c>
      <c r="N26">
        <v>1.5</v>
      </c>
      <c r="O26">
        <v>1</v>
      </c>
      <c r="P26">
        <v>0.66666666666666663</v>
      </c>
    </row>
    <row r="27" spans="2:19" x14ac:dyDescent="0.25">
      <c r="B27">
        <v>7</v>
      </c>
      <c r="C27">
        <v>8</v>
      </c>
      <c r="D27">
        <v>9</v>
      </c>
      <c r="F27">
        <v>3</v>
      </c>
      <c r="G27">
        <v>2</v>
      </c>
      <c r="H27">
        <v>1</v>
      </c>
      <c r="J27">
        <v>2.3333333333333335</v>
      </c>
      <c r="K27">
        <v>4</v>
      </c>
      <c r="L27">
        <v>9</v>
      </c>
      <c r="N27">
        <v>0.42857142857142855</v>
      </c>
      <c r="O27">
        <v>0.25</v>
      </c>
      <c r="P27">
        <v>0.1111111111111111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R31"/>
  <sheetViews>
    <sheetView zoomScale="107" zoomScaleNormal="107" workbookViewId="0">
      <selection activeCell="G24" sqref="G24"/>
    </sheetView>
  </sheetViews>
  <sheetFormatPr defaultRowHeight="15" x14ac:dyDescent="0.25"/>
  <cols>
    <col min="1" max="1" width="30.140625" customWidth="1"/>
  </cols>
  <sheetData>
    <row r="2" spans="1:18" x14ac:dyDescent="0.25">
      <c r="A2" s="5" t="s">
        <v>65</v>
      </c>
      <c r="B2" t="s">
        <v>19</v>
      </c>
    </row>
    <row r="3" spans="1:18" ht="30" x14ac:dyDescent="0.25">
      <c r="A3" s="6" t="s">
        <v>60</v>
      </c>
      <c r="B3" t="s">
        <v>39</v>
      </c>
      <c r="G3" t="s">
        <v>61</v>
      </c>
      <c r="L3" t="s">
        <v>61</v>
      </c>
    </row>
    <row r="4" spans="1:18" x14ac:dyDescent="0.25">
      <c r="B4">
        <v>1</v>
      </c>
      <c r="D4">
        <f t="array" ref="D4:D7">matlogbaseN(B4:B7,2)</f>
        <v>0</v>
      </c>
      <c r="G4">
        <v>1</v>
      </c>
      <c r="H4">
        <v>2</v>
      </c>
      <c r="I4">
        <v>3</v>
      </c>
      <c r="J4">
        <v>4</v>
      </c>
      <c r="L4">
        <v>1</v>
      </c>
      <c r="M4">
        <v>2</v>
      </c>
      <c r="N4">
        <v>3</v>
      </c>
      <c r="P4">
        <f t="array" ref="P4:R6">matlogbaseN(L4:N6,EXP(1))</f>
        <v>0</v>
      </c>
      <c r="Q4">
        <v>0.69314718055994529</v>
      </c>
      <c r="R4">
        <v>1.0986122886681098</v>
      </c>
    </row>
    <row r="5" spans="1:18" x14ac:dyDescent="0.25">
      <c r="B5">
        <v>2</v>
      </c>
      <c r="D5">
        <v>1</v>
      </c>
      <c r="L5">
        <v>4</v>
      </c>
      <c r="M5">
        <v>5</v>
      </c>
      <c r="N5">
        <v>6</v>
      </c>
      <c r="P5">
        <v>1.3862943611198906</v>
      </c>
      <c r="Q5">
        <v>1.6094379124341003</v>
      </c>
      <c r="R5">
        <v>1.791759469228055</v>
      </c>
    </row>
    <row r="6" spans="1:18" x14ac:dyDescent="0.25">
      <c r="B6">
        <v>3</v>
      </c>
      <c r="D6">
        <v>1.5849625007211563</v>
      </c>
      <c r="G6">
        <f t="array" ref="G6:J6">matlogbaseN(G4:J4,10)</f>
        <v>0</v>
      </c>
      <c r="H6">
        <v>0.30102999566398114</v>
      </c>
      <c r="I6">
        <v>0.47712125471966244</v>
      </c>
      <c r="J6">
        <v>0.60205999132796229</v>
      </c>
      <c r="L6">
        <v>7</v>
      </c>
      <c r="M6">
        <v>8</v>
      </c>
      <c r="N6">
        <v>9</v>
      </c>
      <c r="P6">
        <v>1.9459101490553132</v>
      </c>
      <c r="Q6">
        <v>2.0794415416798357</v>
      </c>
      <c r="R6">
        <v>2.1972245773362196</v>
      </c>
    </row>
    <row r="7" spans="1:18" x14ac:dyDescent="0.25">
      <c r="B7">
        <v>4</v>
      </c>
      <c r="D7">
        <v>2</v>
      </c>
    </row>
    <row r="10" spans="1:18" x14ac:dyDescent="0.25">
      <c r="A10" s="5" t="s">
        <v>64</v>
      </c>
      <c r="B10" t="s">
        <v>20</v>
      </c>
    </row>
    <row r="11" spans="1:18" ht="30" x14ac:dyDescent="0.25">
      <c r="A11" s="6" t="s">
        <v>62</v>
      </c>
      <c r="B11" t="s">
        <v>39</v>
      </c>
      <c r="G11" t="s">
        <v>61</v>
      </c>
      <c r="L11" t="s">
        <v>61</v>
      </c>
    </row>
    <row r="12" spans="1:18" x14ac:dyDescent="0.25">
      <c r="B12">
        <v>-1</v>
      </c>
      <c r="D12">
        <f t="array" ref="D12:D15">matABS(B12:B15)</f>
        <v>1</v>
      </c>
      <c r="G12">
        <v>1</v>
      </c>
      <c r="H12">
        <v>-2</v>
      </c>
      <c r="I12">
        <v>3</v>
      </c>
      <c r="J12">
        <v>-4</v>
      </c>
      <c r="L12">
        <v>-1</v>
      </c>
      <c r="M12">
        <v>2</v>
      </c>
      <c r="N12">
        <v>-3</v>
      </c>
      <c r="P12">
        <f t="array" ref="P12:R14">matABS(L12:N14)</f>
        <v>1</v>
      </c>
      <c r="Q12">
        <v>2</v>
      </c>
      <c r="R12">
        <v>3</v>
      </c>
    </row>
    <row r="13" spans="1:18" x14ac:dyDescent="0.25">
      <c r="B13">
        <v>2</v>
      </c>
      <c r="D13">
        <v>2</v>
      </c>
      <c r="L13">
        <v>4</v>
      </c>
      <c r="M13">
        <v>-5</v>
      </c>
      <c r="N13">
        <v>6</v>
      </c>
      <c r="P13">
        <v>4</v>
      </c>
      <c r="Q13">
        <v>5</v>
      </c>
      <c r="R13">
        <v>6</v>
      </c>
    </row>
    <row r="14" spans="1:18" x14ac:dyDescent="0.25">
      <c r="B14">
        <v>-3</v>
      </c>
      <c r="D14">
        <v>3</v>
      </c>
      <c r="G14">
        <f t="array" ref="G14:J14">matABS(G12:J12)</f>
        <v>1</v>
      </c>
      <c r="H14">
        <v>2</v>
      </c>
      <c r="I14">
        <v>3</v>
      </c>
      <c r="J14">
        <v>4</v>
      </c>
      <c r="L14">
        <v>-7</v>
      </c>
      <c r="M14">
        <v>8</v>
      </c>
      <c r="N14">
        <v>-9</v>
      </c>
      <c r="P14">
        <v>7</v>
      </c>
      <c r="Q14">
        <v>8</v>
      </c>
      <c r="R14">
        <v>9</v>
      </c>
    </row>
    <row r="15" spans="1:18" x14ac:dyDescent="0.25">
      <c r="B15">
        <v>4</v>
      </c>
      <c r="D15">
        <v>4</v>
      </c>
    </row>
    <row r="18" spans="1:18" x14ac:dyDescent="0.25">
      <c r="A18" s="5" t="s">
        <v>63</v>
      </c>
      <c r="B18" t="s">
        <v>21</v>
      </c>
    </row>
    <row r="19" spans="1:18" ht="18" customHeight="1" x14ac:dyDescent="0.25">
      <c r="A19" s="6" t="s">
        <v>66</v>
      </c>
      <c r="B19" t="s">
        <v>39</v>
      </c>
      <c r="G19" t="s">
        <v>61</v>
      </c>
      <c r="L19" t="s">
        <v>61</v>
      </c>
    </row>
    <row r="20" spans="1:18" x14ac:dyDescent="0.25">
      <c r="B20">
        <v>-1.3</v>
      </c>
      <c r="D20">
        <f t="array" ref="D20:D23">matceil(B20:B23)</f>
        <v>-1</v>
      </c>
      <c r="G20">
        <v>1.9</v>
      </c>
      <c r="H20">
        <v>-2.2999999999999998</v>
      </c>
      <c r="I20">
        <v>3.1</v>
      </c>
      <c r="J20">
        <v>-4.7</v>
      </c>
      <c r="L20">
        <v>-1.1000000000000001</v>
      </c>
      <c r="M20">
        <v>2.9</v>
      </c>
      <c r="N20">
        <v>-3</v>
      </c>
      <c r="P20">
        <f t="array" ref="P20:R22">matceil(L20:N22)</f>
        <v>-1</v>
      </c>
      <c r="Q20">
        <v>3</v>
      </c>
      <c r="R20">
        <v>-3</v>
      </c>
    </row>
    <row r="21" spans="1:18" x14ac:dyDescent="0.25">
      <c r="B21">
        <v>2.7</v>
      </c>
      <c r="D21">
        <v>3</v>
      </c>
      <c r="L21">
        <v>4.4000000000000004</v>
      </c>
      <c r="M21">
        <v>-5.9</v>
      </c>
      <c r="N21">
        <v>6</v>
      </c>
      <c r="P21">
        <v>5</v>
      </c>
      <c r="Q21">
        <v>-5</v>
      </c>
      <c r="R21">
        <v>7</v>
      </c>
    </row>
    <row r="22" spans="1:18" x14ac:dyDescent="0.25">
      <c r="B22">
        <v>-3.9</v>
      </c>
      <c r="D22">
        <v>-3</v>
      </c>
      <c r="G22">
        <f t="array" ref="G22:J22">matceil(G20:J20)</f>
        <v>2</v>
      </c>
      <c r="H22">
        <v>-2</v>
      </c>
      <c r="I22">
        <v>4</v>
      </c>
      <c r="J22">
        <v>-4</v>
      </c>
      <c r="L22">
        <v>-7</v>
      </c>
      <c r="M22">
        <v>8</v>
      </c>
      <c r="N22">
        <v>-9</v>
      </c>
      <c r="P22">
        <v>-7</v>
      </c>
      <c r="Q22">
        <v>9</v>
      </c>
      <c r="R22">
        <v>-9</v>
      </c>
    </row>
    <row r="23" spans="1:18" x14ac:dyDescent="0.25">
      <c r="B23">
        <v>4.0999999999999996</v>
      </c>
      <c r="D23">
        <v>5</v>
      </c>
    </row>
    <row r="26" spans="1:18" x14ac:dyDescent="0.25">
      <c r="A26" s="5" t="s">
        <v>67</v>
      </c>
      <c r="B26" t="s">
        <v>22</v>
      </c>
    </row>
    <row r="27" spans="1:18" x14ac:dyDescent="0.25">
      <c r="A27" s="6" t="s">
        <v>68</v>
      </c>
      <c r="B27" t="s">
        <v>39</v>
      </c>
      <c r="G27" t="s">
        <v>61</v>
      </c>
      <c r="L27" t="s">
        <v>61</v>
      </c>
    </row>
    <row r="28" spans="1:18" x14ac:dyDescent="0.25">
      <c r="B28">
        <v>-1.3</v>
      </c>
      <c r="D28">
        <f t="array" ref="D28:D31">matFloor(B28:B31)</f>
        <v>-2</v>
      </c>
      <c r="G28">
        <v>1.9</v>
      </c>
      <c r="H28">
        <v>-2.2999999999999998</v>
      </c>
      <c r="I28">
        <v>3.1</v>
      </c>
      <c r="J28">
        <v>-4.7</v>
      </c>
      <c r="L28">
        <v>-1.1000000000000001</v>
      </c>
      <c r="M28">
        <v>2.9</v>
      </c>
      <c r="N28">
        <v>-3</v>
      </c>
      <c r="P28">
        <f t="array" ref="P28:R30">matFloor(L28:N30)</f>
        <v>-2</v>
      </c>
      <c r="Q28">
        <v>2</v>
      </c>
      <c r="R28">
        <v>-3</v>
      </c>
    </row>
    <row r="29" spans="1:18" x14ac:dyDescent="0.25">
      <c r="B29">
        <v>2.7</v>
      </c>
      <c r="D29">
        <v>2</v>
      </c>
      <c r="L29">
        <v>4.4000000000000004</v>
      </c>
      <c r="M29">
        <v>-5.9</v>
      </c>
      <c r="N29">
        <v>6</v>
      </c>
      <c r="P29">
        <v>4</v>
      </c>
      <c r="Q29">
        <v>-6</v>
      </c>
      <c r="R29">
        <v>6</v>
      </c>
    </row>
    <row r="30" spans="1:18" x14ac:dyDescent="0.25">
      <c r="B30">
        <v>-3.9</v>
      </c>
      <c r="D30">
        <v>-4</v>
      </c>
      <c r="G30">
        <f t="array" ref="G30:J30">matFloor(G28:J28)</f>
        <v>1</v>
      </c>
      <c r="H30">
        <v>-3</v>
      </c>
      <c r="I30">
        <v>3</v>
      </c>
      <c r="J30">
        <v>-5</v>
      </c>
      <c r="L30">
        <v>-7</v>
      </c>
      <c r="M30">
        <v>8</v>
      </c>
      <c r="N30">
        <v>-9</v>
      </c>
      <c r="P30">
        <v>-7</v>
      </c>
      <c r="Q30">
        <v>8</v>
      </c>
      <c r="R30">
        <v>-9</v>
      </c>
    </row>
    <row r="31" spans="1:18" x14ac:dyDescent="0.25">
      <c r="B31">
        <v>4.0999999999999996</v>
      </c>
      <c r="D31">
        <v>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P65"/>
  <sheetViews>
    <sheetView topLeftCell="A19" workbookViewId="0">
      <selection activeCell="B43" sqref="B43"/>
    </sheetView>
  </sheetViews>
  <sheetFormatPr defaultRowHeight="15" x14ac:dyDescent="0.25"/>
  <cols>
    <col min="1" max="1" width="29.5703125" customWidth="1"/>
    <col min="10" max="10" width="9" customWidth="1"/>
    <col min="11" max="12" width="9.28515625" bestFit="1" customWidth="1"/>
  </cols>
  <sheetData>
    <row r="2" spans="1:12" x14ac:dyDescent="0.25">
      <c r="A2" s="5" t="s">
        <v>69</v>
      </c>
      <c r="B2" t="s">
        <v>23</v>
      </c>
    </row>
    <row r="3" spans="1:12" ht="60" x14ac:dyDescent="0.25">
      <c r="A3" s="6" t="s">
        <v>70</v>
      </c>
      <c r="B3" t="s">
        <v>39</v>
      </c>
      <c r="D3" t="s">
        <v>40</v>
      </c>
    </row>
    <row r="4" spans="1:12" x14ac:dyDescent="0.25">
      <c r="B4">
        <v>1</v>
      </c>
      <c r="D4">
        <v>1</v>
      </c>
      <c r="E4">
        <v>2</v>
      </c>
      <c r="F4">
        <v>3</v>
      </c>
      <c r="G4">
        <v>4</v>
      </c>
      <c r="I4">
        <f t="array" ref="I4:L7">matMult(B4:B7,D4:G4)</f>
        <v>1</v>
      </c>
      <c r="J4">
        <v>2</v>
      </c>
      <c r="K4">
        <v>3</v>
      </c>
      <c r="L4">
        <v>4</v>
      </c>
    </row>
    <row r="5" spans="1:12" x14ac:dyDescent="0.25">
      <c r="B5">
        <v>2</v>
      </c>
      <c r="I5">
        <v>2</v>
      </c>
      <c r="J5">
        <v>4</v>
      </c>
      <c r="K5">
        <v>6</v>
      </c>
      <c r="L5">
        <v>8</v>
      </c>
    </row>
    <row r="6" spans="1:12" x14ac:dyDescent="0.25">
      <c r="B6">
        <v>3</v>
      </c>
      <c r="I6">
        <v>3</v>
      </c>
      <c r="J6">
        <v>6</v>
      </c>
      <c r="K6">
        <v>9</v>
      </c>
      <c r="L6">
        <v>12</v>
      </c>
    </row>
    <row r="7" spans="1:12" x14ac:dyDescent="0.25">
      <c r="B7">
        <v>4</v>
      </c>
      <c r="I7">
        <v>4</v>
      </c>
      <c r="J7">
        <v>8</v>
      </c>
      <c r="K7">
        <v>12</v>
      </c>
      <c r="L7">
        <v>16</v>
      </c>
    </row>
    <row r="8" spans="1:12" x14ac:dyDescent="0.25">
      <c r="B8" t="s">
        <v>39</v>
      </c>
      <c r="D8" t="s">
        <v>40</v>
      </c>
    </row>
    <row r="9" spans="1:12" x14ac:dyDescent="0.25">
      <c r="B9">
        <v>1</v>
      </c>
      <c r="C9">
        <v>2</v>
      </c>
      <c r="D9">
        <v>3</v>
      </c>
      <c r="F9">
        <v>1</v>
      </c>
      <c r="H9">
        <f t="array" ref="H9">matMult(B9:D9,F9:F11)</f>
        <v>14</v>
      </c>
    </row>
    <row r="10" spans="1:12" x14ac:dyDescent="0.25">
      <c r="F10">
        <v>2</v>
      </c>
    </row>
    <row r="11" spans="1:12" x14ac:dyDescent="0.25">
      <c r="F11">
        <v>3</v>
      </c>
    </row>
    <row r="12" spans="1:12" x14ac:dyDescent="0.25">
      <c r="B12" t="s">
        <v>59</v>
      </c>
      <c r="E12" t="s">
        <v>44</v>
      </c>
    </row>
    <row r="13" spans="1:12" x14ac:dyDescent="0.25">
      <c r="B13">
        <v>1</v>
      </c>
      <c r="C13">
        <v>6</v>
      </c>
      <c r="E13">
        <v>1</v>
      </c>
      <c r="F13">
        <v>2</v>
      </c>
      <c r="G13">
        <v>3</v>
      </c>
      <c r="I13">
        <f t="array" ref="I13:K17">matMult(B13:C17,E13:G14)</f>
        <v>25</v>
      </c>
      <c r="J13">
        <v>32</v>
      </c>
      <c r="K13">
        <v>39</v>
      </c>
    </row>
    <row r="14" spans="1:12" x14ac:dyDescent="0.25">
      <c r="B14">
        <v>2</v>
      </c>
      <c r="C14">
        <v>7</v>
      </c>
      <c r="E14">
        <v>4</v>
      </c>
      <c r="F14">
        <v>5</v>
      </c>
      <c r="G14">
        <v>6</v>
      </c>
      <c r="I14">
        <v>30</v>
      </c>
      <c r="J14">
        <v>39</v>
      </c>
      <c r="K14">
        <v>48</v>
      </c>
    </row>
    <row r="15" spans="1:12" x14ac:dyDescent="0.25">
      <c r="B15">
        <v>3</v>
      </c>
      <c r="C15">
        <v>8</v>
      </c>
      <c r="I15">
        <v>35</v>
      </c>
      <c r="J15">
        <v>46</v>
      </c>
      <c r="K15">
        <v>57</v>
      </c>
    </row>
    <row r="16" spans="1:12" x14ac:dyDescent="0.25">
      <c r="B16">
        <v>4</v>
      </c>
      <c r="C16">
        <v>9</v>
      </c>
      <c r="I16">
        <v>40</v>
      </c>
      <c r="J16">
        <v>53</v>
      </c>
      <c r="K16">
        <v>66</v>
      </c>
    </row>
    <row r="17" spans="1:12" x14ac:dyDescent="0.25">
      <c r="B17">
        <v>5</v>
      </c>
      <c r="C17">
        <v>10</v>
      </c>
      <c r="I17">
        <v>45</v>
      </c>
      <c r="J17">
        <v>60</v>
      </c>
      <c r="K17">
        <v>75</v>
      </c>
    </row>
    <row r="19" spans="1:12" x14ac:dyDescent="0.25">
      <c r="B19" t="s">
        <v>39</v>
      </c>
      <c r="G19" t="s">
        <v>40</v>
      </c>
    </row>
    <row r="20" spans="1:12" x14ac:dyDescent="0.25">
      <c r="B20">
        <v>1</v>
      </c>
      <c r="C20">
        <v>2</v>
      </c>
      <c r="D20">
        <v>3</v>
      </c>
      <c r="E20">
        <v>4</v>
      </c>
      <c r="G20">
        <f>PI()</f>
        <v>3.1415926535897931</v>
      </c>
      <c r="I20">
        <f t="array" ref="I20:L23">matMult(B20:E23,G20)</f>
        <v>3.1415926535897931</v>
      </c>
      <c r="J20">
        <v>6.2831853071795862</v>
      </c>
      <c r="K20">
        <v>9.4247779607693793</v>
      </c>
      <c r="L20">
        <v>12.566370614359172</v>
      </c>
    </row>
    <row r="21" spans="1:12" x14ac:dyDescent="0.25">
      <c r="B21">
        <v>2</v>
      </c>
      <c r="C21">
        <v>4</v>
      </c>
      <c r="D21">
        <v>6</v>
      </c>
      <c r="E21">
        <v>8</v>
      </c>
      <c r="I21">
        <v>6.2831853071795862</v>
      </c>
      <c r="J21">
        <v>12.566370614359172</v>
      </c>
      <c r="K21">
        <v>18.849555921538759</v>
      </c>
      <c r="L21">
        <v>25.132741228718345</v>
      </c>
    </row>
    <row r="22" spans="1:12" x14ac:dyDescent="0.25">
      <c r="B22">
        <v>3</v>
      </c>
      <c r="C22">
        <v>6</v>
      </c>
      <c r="D22">
        <v>9</v>
      </c>
      <c r="E22">
        <v>12</v>
      </c>
      <c r="I22">
        <v>9.4247779607693793</v>
      </c>
      <c r="J22">
        <v>18.849555921538759</v>
      </c>
      <c r="K22">
        <v>28.274333882308138</v>
      </c>
      <c r="L22">
        <v>37.699111843077517</v>
      </c>
    </row>
    <row r="23" spans="1:12" x14ac:dyDescent="0.25">
      <c r="B23">
        <v>4</v>
      </c>
      <c r="C23">
        <v>8</v>
      </c>
      <c r="D23">
        <v>12</v>
      </c>
      <c r="E23">
        <v>16</v>
      </c>
      <c r="I23">
        <v>12.566370614359172</v>
      </c>
      <c r="J23">
        <v>25.132741228718345</v>
      </c>
      <c r="K23">
        <v>37.699111843077517</v>
      </c>
      <c r="L23">
        <v>50.26548245743669</v>
      </c>
    </row>
    <row r="26" spans="1:12" x14ac:dyDescent="0.25">
      <c r="B26" t="s">
        <v>24</v>
      </c>
    </row>
    <row r="27" spans="1:12" x14ac:dyDescent="0.25">
      <c r="B27" t="s">
        <v>39</v>
      </c>
    </row>
    <row r="28" spans="1:12" x14ac:dyDescent="0.25">
      <c r="A28" s="5" t="s">
        <v>71</v>
      </c>
      <c r="B28">
        <v>1</v>
      </c>
      <c r="C28">
        <v>2</v>
      </c>
      <c r="D28">
        <v>3</v>
      </c>
      <c r="E28">
        <v>4</v>
      </c>
      <c r="G28">
        <f t="array" ref="G28:G31">MatTrans(B28:E28)</f>
        <v>1</v>
      </c>
      <c r="I28">
        <f t="array" ref="I28:L28">MatTrans(G28:G31)</f>
        <v>1</v>
      </c>
      <c r="J28">
        <v>2</v>
      </c>
      <c r="K28">
        <v>3</v>
      </c>
      <c r="L28">
        <v>4</v>
      </c>
    </row>
    <row r="29" spans="1:12" x14ac:dyDescent="0.25">
      <c r="A29" t="s">
        <v>72</v>
      </c>
      <c r="G29">
        <v>2</v>
      </c>
    </row>
    <row r="30" spans="1:12" x14ac:dyDescent="0.25">
      <c r="G30">
        <v>3</v>
      </c>
    </row>
    <row r="31" spans="1:12" x14ac:dyDescent="0.25">
      <c r="G31">
        <v>4</v>
      </c>
    </row>
    <row r="32" spans="1:12" x14ac:dyDescent="0.25">
      <c r="B32" t="s">
        <v>39</v>
      </c>
    </row>
    <row r="33" spans="1:12" x14ac:dyDescent="0.25">
      <c r="B33">
        <v>1</v>
      </c>
      <c r="C33">
        <v>6</v>
      </c>
      <c r="E33">
        <f t="array" ref="E33:I34">MatTrans(B33:C37)</f>
        <v>1</v>
      </c>
      <c r="F33">
        <v>2</v>
      </c>
      <c r="G33">
        <v>3</v>
      </c>
      <c r="H33">
        <v>4</v>
      </c>
      <c r="I33">
        <v>5</v>
      </c>
      <c r="K33">
        <f t="array" ref="K33:L37">MatTrans(E33:I34)</f>
        <v>1</v>
      </c>
      <c r="L33">
        <v>6</v>
      </c>
    </row>
    <row r="34" spans="1:12" x14ac:dyDescent="0.25">
      <c r="B34">
        <v>2</v>
      </c>
      <c r="C34">
        <v>7</v>
      </c>
      <c r="E34">
        <v>6</v>
      </c>
      <c r="F34">
        <v>7</v>
      </c>
      <c r="G34">
        <v>8</v>
      </c>
      <c r="H34">
        <v>9</v>
      </c>
      <c r="I34">
        <v>10</v>
      </c>
      <c r="K34">
        <v>2</v>
      </c>
      <c r="L34">
        <v>7</v>
      </c>
    </row>
    <row r="35" spans="1:12" x14ac:dyDescent="0.25">
      <c r="B35">
        <v>3</v>
      </c>
      <c r="C35">
        <v>8</v>
      </c>
      <c r="K35">
        <v>3</v>
      </c>
      <c r="L35">
        <v>8</v>
      </c>
    </row>
    <row r="36" spans="1:12" x14ac:dyDescent="0.25">
      <c r="B36">
        <v>4</v>
      </c>
      <c r="C36">
        <v>9</v>
      </c>
      <c r="K36">
        <v>4</v>
      </c>
      <c r="L36">
        <v>9</v>
      </c>
    </row>
    <row r="37" spans="1:12" x14ac:dyDescent="0.25">
      <c r="B37">
        <v>5</v>
      </c>
      <c r="C37">
        <v>10</v>
      </c>
      <c r="K37">
        <v>5</v>
      </c>
      <c r="L37">
        <v>10</v>
      </c>
    </row>
    <row r="40" spans="1:12" x14ac:dyDescent="0.25">
      <c r="A40" s="5" t="s">
        <v>73</v>
      </c>
      <c r="B40" t="s">
        <v>25</v>
      </c>
    </row>
    <row r="41" spans="1:12" x14ac:dyDescent="0.25">
      <c r="A41" t="s">
        <v>74</v>
      </c>
      <c r="B41" t="s">
        <v>75</v>
      </c>
    </row>
    <row r="42" spans="1:12" x14ac:dyDescent="0.25">
      <c r="B42">
        <v>1</v>
      </c>
      <c r="C42">
        <v>2</v>
      </c>
      <c r="D42">
        <v>3</v>
      </c>
      <c r="F42">
        <f t="array" ref="F42:H44">MatInv(B42:D44)</f>
        <v>-1.857142857142857</v>
      </c>
      <c r="G42">
        <v>1</v>
      </c>
      <c r="H42">
        <v>-0.14285714285714279</v>
      </c>
      <c r="J42" s="3">
        <f t="array" ref="J42:L44">matMult(B42:D44,F42:H44)</f>
        <v>1.0000000000000002</v>
      </c>
      <c r="K42" s="3">
        <v>0</v>
      </c>
      <c r="L42" s="3">
        <v>0</v>
      </c>
    </row>
    <row r="43" spans="1:12" x14ac:dyDescent="0.25">
      <c r="B43">
        <v>4</v>
      </c>
      <c r="C43">
        <v>5</v>
      </c>
      <c r="D43">
        <v>7</v>
      </c>
      <c r="F43">
        <v>2.2857142857142856</v>
      </c>
      <c r="G43">
        <v>-2</v>
      </c>
      <c r="H43">
        <v>0.7142857142857143</v>
      </c>
      <c r="J43" s="3">
        <v>-8.8817841970012523E-16</v>
      </c>
      <c r="K43" s="3">
        <v>1</v>
      </c>
      <c r="L43" s="3">
        <v>4.4408920985006262E-16</v>
      </c>
    </row>
    <row r="44" spans="1:12" x14ac:dyDescent="0.25">
      <c r="B44">
        <v>8</v>
      </c>
      <c r="C44">
        <v>9</v>
      </c>
      <c r="D44">
        <v>10</v>
      </c>
      <c r="F44">
        <v>-0.5714285714285714</v>
      </c>
      <c r="G44">
        <v>1</v>
      </c>
      <c r="H44">
        <v>-0.4285714285714286</v>
      </c>
      <c r="J44" s="3">
        <v>0</v>
      </c>
      <c r="K44" s="3">
        <v>0</v>
      </c>
      <c r="L44" s="3">
        <v>1</v>
      </c>
    </row>
    <row r="47" spans="1:12" x14ac:dyDescent="0.25">
      <c r="B47" t="s">
        <v>26</v>
      </c>
    </row>
    <row r="48" spans="1:12" x14ac:dyDescent="0.25">
      <c r="H48" t="s">
        <v>27</v>
      </c>
      <c r="K48" t="s">
        <v>28</v>
      </c>
    </row>
    <row r="49" spans="2:16" x14ac:dyDescent="0.25">
      <c r="B49">
        <v>1</v>
      </c>
      <c r="C49">
        <v>2</v>
      </c>
      <c r="D49">
        <v>3</v>
      </c>
      <c r="E49">
        <v>4</v>
      </c>
      <c r="F49">
        <v>5</v>
      </c>
      <c r="H49">
        <f t="array" ref="H49:I50">matgetsub(B49:F52,3,4,2,3)</f>
        <v>12</v>
      </c>
      <c r="I49">
        <v>13</v>
      </c>
      <c r="K49">
        <f t="array" ref="K49:O51">matgetsub(B49:F52,1,3,,)</f>
        <v>1</v>
      </c>
      <c r="L49">
        <v>2</v>
      </c>
      <c r="M49">
        <v>3</v>
      </c>
      <c r="N49">
        <v>4</v>
      </c>
      <c r="O49">
        <v>5</v>
      </c>
    </row>
    <row r="50" spans="2:16" x14ac:dyDescent="0.25">
      <c r="B50">
        <v>6</v>
      </c>
      <c r="C50">
        <v>7</v>
      </c>
      <c r="D50">
        <v>8</v>
      </c>
      <c r="E50">
        <v>9</v>
      </c>
      <c r="F50">
        <v>10</v>
      </c>
      <c r="H50">
        <v>17</v>
      </c>
      <c r="I50">
        <v>18</v>
      </c>
      <c r="K50">
        <v>6</v>
      </c>
      <c r="L50">
        <v>7</v>
      </c>
      <c r="M50">
        <v>8</v>
      </c>
      <c r="N50">
        <v>9</v>
      </c>
      <c r="O50">
        <v>10</v>
      </c>
    </row>
    <row r="51" spans="2:16" x14ac:dyDescent="0.25">
      <c r="B51">
        <v>11</v>
      </c>
      <c r="C51">
        <v>12</v>
      </c>
      <c r="D51">
        <v>13</v>
      </c>
      <c r="E51">
        <v>14</v>
      </c>
      <c r="F51">
        <v>15</v>
      </c>
      <c r="K51">
        <v>11</v>
      </c>
      <c r="L51">
        <v>12</v>
      </c>
      <c r="M51">
        <v>13</v>
      </c>
      <c r="N51">
        <v>14</v>
      </c>
      <c r="O51">
        <v>15</v>
      </c>
    </row>
    <row r="52" spans="2:16" x14ac:dyDescent="0.25">
      <c r="B52">
        <v>16</v>
      </c>
      <c r="C52">
        <v>17</v>
      </c>
      <c r="D52">
        <v>18</v>
      </c>
      <c r="E52">
        <v>19</v>
      </c>
      <c r="F52">
        <v>20</v>
      </c>
    </row>
    <row r="53" spans="2:16" x14ac:dyDescent="0.25">
      <c r="H53" t="s">
        <v>29</v>
      </c>
    </row>
    <row r="54" spans="2:16" x14ac:dyDescent="0.25">
      <c r="H54">
        <f t="array" ref="H54:J57">matgetsub(B49:F52,,,2,4)</f>
        <v>2</v>
      </c>
      <c r="I54">
        <v>3</v>
      </c>
      <c r="J54">
        <v>4</v>
      </c>
    </row>
    <row r="55" spans="2:16" x14ac:dyDescent="0.25">
      <c r="H55">
        <v>7</v>
      </c>
      <c r="I55">
        <v>8</v>
      </c>
      <c r="J55">
        <v>9</v>
      </c>
    </row>
    <row r="56" spans="2:16" x14ac:dyDescent="0.25">
      <c r="H56">
        <v>12</v>
      </c>
      <c r="I56">
        <v>13</v>
      </c>
      <c r="J56">
        <v>14</v>
      </c>
    </row>
    <row r="57" spans="2:16" x14ac:dyDescent="0.25">
      <c r="H57">
        <v>17</v>
      </c>
      <c r="I57">
        <v>18</v>
      </c>
      <c r="J57">
        <v>19</v>
      </c>
    </row>
    <row r="60" spans="2:16" x14ac:dyDescent="0.25">
      <c r="B60" t="s">
        <v>30</v>
      </c>
    </row>
    <row r="62" spans="2:16" x14ac:dyDescent="0.25">
      <c r="B62">
        <v>1</v>
      </c>
      <c r="D62">
        <f t="array" ref="D62">matnorm(B62:B65)</f>
        <v>5.4772255750516612</v>
      </c>
      <c r="F62">
        <v>1</v>
      </c>
      <c r="G62">
        <v>2</v>
      </c>
      <c r="H62">
        <v>3</v>
      </c>
      <c r="J62">
        <f>matnorm(F62:H64)</f>
        <v>16.881943016134134</v>
      </c>
      <c r="L62">
        <v>1</v>
      </c>
      <c r="M62">
        <v>2</v>
      </c>
      <c r="N62">
        <v>3</v>
      </c>
      <c r="P62">
        <f>matnorm(L62:N63)</f>
        <v>9.5393920141694561</v>
      </c>
    </row>
    <row r="63" spans="2:16" x14ac:dyDescent="0.25">
      <c r="B63">
        <v>2</v>
      </c>
      <c r="F63">
        <v>4</v>
      </c>
      <c r="G63">
        <v>5</v>
      </c>
      <c r="H63">
        <v>6</v>
      </c>
      <c r="L63">
        <v>4</v>
      </c>
      <c r="M63">
        <v>5</v>
      </c>
      <c r="N63">
        <v>6</v>
      </c>
    </row>
    <row r="64" spans="2:16" x14ac:dyDescent="0.25">
      <c r="B64">
        <v>3</v>
      </c>
      <c r="F64">
        <v>7</v>
      </c>
      <c r="G64">
        <v>8</v>
      </c>
      <c r="H64">
        <v>9</v>
      </c>
    </row>
    <row r="65" spans="2:2" x14ac:dyDescent="0.25">
      <c r="B65">
        <v>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Decription</vt:lpstr>
      <vt:lpstr>Useful Matrices</vt:lpstr>
      <vt:lpstr>Column Manipulation</vt:lpstr>
      <vt:lpstr>Row Manipulation</vt:lpstr>
      <vt:lpstr>Elementwise Addition</vt:lpstr>
      <vt:lpstr>Elementwise subtraction</vt:lpstr>
      <vt:lpstr>Elementwise division</vt:lpstr>
      <vt:lpstr>Matrix Element Functions</vt:lpstr>
      <vt:lpstr>Matrix Functions</vt:lpstr>
      <vt:lpstr>A_Matrix</vt:lpstr>
    </vt:vector>
  </TitlesOfParts>
  <Company>AFIT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jweir</dc:creator>
  <cp:lastModifiedBy>Weir, Jeffery D Civ USAF AETC AFIT/ENS</cp:lastModifiedBy>
  <dcterms:created xsi:type="dcterms:W3CDTF">2014-06-05T17:30:54Z</dcterms:created>
  <dcterms:modified xsi:type="dcterms:W3CDTF">2018-03-20T15:45:53Z</dcterms:modified>
</cp:coreProperties>
</file>